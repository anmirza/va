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https://viaint.sharepoint.com/sites/vaconsulting/Documenti condivisi/Attività/1. VApproach/1. Pitch Process/5. RFI/"/>
    </mc:Choice>
  </mc:AlternateContent>
  <xr:revisionPtr revIDLastSave="162" documentId="8_{63CBF1AC-FCB3-4354-917F-86BCE37A4CAE}" xr6:coauthVersionLast="47" xr6:coauthVersionMax="47" xr10:uidLastSave="{18AFCD6E-D57B-7B4D-9865-9A5C61D9F34F}"/>
  <workbookProtection workbookAlgorithmName="SHA-512" workbookHashValue="TXk+diJou9vPolTG5T22kgOChDRSWbY+ED4Y1YyRQIJxQrTqq/qD9SCz8WjEEabVrd/E1C/96IFLPJNbOS5R5Q==" workbookSaltValue="1Gw61DLrEumLsnhViYi9GA==" workbookSpinCount="100000" lockStructure="1"/>
  <bookViews>
    <workbookView xWindow="36500" yWindow="700" windowWidth="18900" windowHeight="26280" activeTab="1" xr2:uid="{00000000-000D-0000-FFFF-FFFF00000000}"/>
  </bookViews>
  <sheets>
    <sheet name="Introduction" sheetId="3" r:id="rId1"/>
    <sheet name="RFI" sheetId="2" r:id="rId2"/>
    <sheet name="Settings" sheetId="6" state="hidden" r:id="rId3"/>
    <sheet name="Drop-down" sheetId="5" state="hidden" r:id="rId4"/>
    <sheet name="Dati Dashboard" sheetId="8" state="hidden" r:id="rId5"/>
  </sheets>
  <definedNames>
    <definedName name="AgencyEmployeesDropdown" localSheetId="3">'Drop-down'!$F$3</definedName>
    <definedName name="AgencyEmployeesDropdown">#REF!</definedName>
    <definedName name="AgencyEmployeesNumber" localSheetId="3">'Drop-down'!$F$2</definedName>
    <definedName name="AgencyEmployeesNumber">#REF!</definedName>
    <definedName name="AgencyOwnershipDropdown" localSheetId="3">'Drop-down'!#REF!</definedName>
    <definedName name="AgencyOwnershipDropdown">#REF!</definedName>
    <definedName name="AgencyOwnershipNumber" localSheetId="3">'Drop-down'!#REF!</definedName>
    <definedName name="AgencyOwnershipNumber">#REF!</definedName>
    <definedName name="Billable" localSheetId="3">#REF!</definedName>
    <definedName name="Billable">#REF!</definedName>
    <definedName name="CountriesDropdown" localSheetId="3">'Drop-down'!$D$3</definedName>
    <definedName name="CountriesDropdown">#REF!</definedName>
    <definedName name="CountriesNumber" localSheetId="3">'Drop-down'!$D$2</definedName>
    <definedName name="CountriesNumber">#REF!</definedName>
    <definedName name="Currency" localSheetId="3">#REF!</definedName>
    <definedName name="Currency">#REF!</definedName>
    <definedName name="CurrencyDropdown" localSheetId="3">'Drop-down'!$B$3</definedName>
    <definedName name="CurrencyDropdown">#REF!</definedName>
    <definedName name="CurrencyNumber" localSheetId="3">'Drop-down'!$B$2</definedName>
    <definedName name="CurrencyNumber">#REF!</definedName>
    <definedName name="DeleteValue" localSheetId="3">#REF!</definedName>
    <definedName name="DeleteValue">#REF!</definedName>
    <definedName name="Dept1" localSheetId="3">#REF!</definedName>
    <definedName name="Dept1">#REF!</definedName>
    <definedName name="Dept2" localSheetId="3">#REF!</definedName>
    <definedName name="Dept2">#REF!</definedName>
    <definedName name="Dept3" localSheetId="3">#REF!</definedName>
    <definedName name="Dept3">#REF!</definedName>
    <definedName name="Dept4" localSheetId="3">#REF!</definedName>
    <definedName name="Dept4">#REF!</definedName>
    <definedName name="Dept5" localSheetId="3">#REF!</definedName>
    <definedName name="Dept5">#REF!</definedName>
    <definedName name="Dept6" localSheetId="3">#REF!</definedName>
    <definedName name="Dept6">#REF!</definedName>
    <definedName name="Dept7" localSheetId="3">#REF!</definedName>
    <definedName name="Dept7">#REF!</definedName>
    <definedName name="Dept8" localSheetId="3">#REF!</definedName>
    <definedName name="Dept8">#REF!</definedName>
    <definedName name="Margin" localSheetId="3">#REF!</definedName>
    <definedName name="Margin">#REF!</definedName>
    <definedName name="_xlnm.Print_Area" localSheetId="1">RFI!$A$1:$AM$310</definedName>
    <definedName name="RangeAddRows" localSheetId="3">#REF!,#REF!,#REF!,#REF!,#REF!,#REF!,#REF!,#REF!</definedName>
    <definedName name="RangeAddRows">#REF!,#REF!,#REF!,#REF!,#REF!,#REF!,#REF!,#REF!</definedName>
    <definedName name="RangeAgencyEmployees" localSheetId="4">OFFSET(AgencyEmployeesDropdown,1,0):OFFSET(AgencyEmployeesDropdown,AgencyEmployeesNumber,0)</definedName>
    <definedName name="RangeAgencyEmployees" localSheetId="3">OFFSET('Drop-down'!AgencyEmployeesDropdown,1,0):OFFSET('Drop-down'!AgencyEmployeesDropdown,'Drop-down'!AgencyEmployeesNumber,0)</definedName>
    <definedName name="RangeAgencyEmployees">OFFSET(AgencyEmployeesDropdown,1,0):OFFSET(AgencyEmployeesDropdown,AgencyEmployeesNumber,0)</definedName>
    <definedName name="RangeAgencyOwnership" localSheetId="4">OFFSET(AgencyOwnershipDropdown,1,0):OFFSET(AgencyOwnershipDropdown,AgencyOwnershipNumber,0)</definedName>
    <definedName name="RangeAgencyOwnership" localSheetId="3">OFFSET('Drop-down'!AgencyOwnershipDropdown,1,0):OFFSET('Drop-down'!AgencyOwnershipDropdown,'Drop-down'!AgencyOwnershipNumber,0)</definedName>
    <definedName name="RangeAgencyOwnership">OFFSET(AgencyOwnershipDropdown,1,0):OFFSET(AgencyOwnershipDropdown,AgencyOwnershipNumber,0)</definedName>
    <definedName name="RangeCountries" localSheetId="4">OFFSET(CountriesDropdown,1,0):OFFSET(CountriesDropdown,CountriesNumber,0)</definedName>
    <definedName name="RangeCountries" localSheetId="3">OFFSET('Drop-down'!CountriesDropdown,1,0):OFFSET('Drop-down'!CountriesDropdown,'Drop-down'!CountriesNumber,0)</definedName>
    <definedName name="RangeCountries">OFFSET(CountriesDropdown,1,0):OFFSET(CountriesDropdown,CountriesNumber,0)</definedName>
    <definedName name="RangeCurrencies" localSheetId="4">OFFSET(CurrencyDropdown,1,0):OFFSET(CurrencyDropdown,CurrencyNumber,0)</definedName>
    <definedName name="RangeCurrencies" localSheetId="3">OFFSET('Drop-down'!CurrencyDropdown,1,0):OFFSET('Drop-down'!CurrencyDropdown,'Drop-down'!CurrencyNumber,0)</definedName>
    <definedName name="RangeCurrencies">OFFSET(CurrencyDropdown,1,0):OFFSET(CurrencyDropdown,CurrencyNumber,0)</definedName>
    <definedName name="RangeDeleteRow" localSheetId="3">#REF!</definedName>
    <definedName name="RangeDeleteRow">#REF!</definedName>
    <definedName name="RangeTableTex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5" i="2" l="1"/>
  <c r="V89" i="2"/>
  <c r="V74" i="2"/>
  <c r="A2" i="8"/>
  <c r="AR87" i="8"/>
  <c r="AR86" i="8"/>
  <c r="AR85" i="8"/>
  <c r="AR84" i="8"/>
  <c r="AR83" i="8"/>
  <c r="AR82" i="8"/>
  <c r="AR81" i="8"/>
  <c r="AR80" i="8"/>
  <c r="AR79" i="8"/>
  <c r="AR78" i="8"/>
  <c r="AR77" i="8"/>
  <c r="AR76" i="8"/>
  <c r="AR75" i="8"/>
  <c r="AR74" i="8"/>
  <c r="AR73" i="8"/>
  <c r="AR72" i="8"/>
  <c r="AR71" i="8"/>
  <c r="AR70" i="8"/>
  <c r="AR69" i="8"/>
  <c r="AR68" i="8"/>
  <c r="AR67" i="8"/>
  <c r="AR66" i="8"/>
  <c r="AR65" i="8"/>
  <c r="AR64" i="8"/>
  <c r="AR63" i="8"/>
  <c r="AR61" i="8"/>
  <c r="AR62" i="8"/>
  <c r="AR60" i="8"/>
  <c r="AR58" i="8"/>
  <c r="AR59" i="8"/>
  <c r="AR57" i="8"/>
  <c r="AR56" i="8"/>
  <c r="AR54" i="8"/>
  <c r="AR55" i="8"/>
  <c r="AR53" i="8"/>
  <c r="AR51" i="8"/>
  <c r="AR52" i="8"/>
  <c r="AR50" i="8"/>
  <c r="AR49" i="8"/>
  <c r="AR48" i="8"/>
  <c r="AR47" i="8"/>
  <c r="AR46" i="8"/>
  <c r="AR45" i="8"/>
  <c r="AR44" i="8"/>
  <c r="AR43" i="8"/>
  <c r="AR42" i="8"/>
  <c r="AR41" i="8"/>
  <c r="AR40" i="8"/>
  <c r="AR39" i="8"/>
  <c r="AR38" i="8"/>
  <c r="AR37" i="8"/>
  <c r="AR36" i="8"/>
  <c r="AR35" i="8"/>
  <c r="AR34" i="8"/>
  <c r="AR33" i="8"/>
  <c r="AR32" i="8"/>
  <c r="AR30" i="8"/>
  <c r="AR31" i="8"/>
  <c r="AR29" i="8"/>
  <c r="AR27" i="8"/>
  <c r="AR28" i="8"/>
  <c r="AR26" i="8"/>
  <c r="AR25" i="8"/>
  <c r="AR24" i="8"/>
  <c r="AR23" i="8"/>
  <c r="AR21" i="8"/>
  <c r="AR22" i="8"/>
  <c r="AR20" i="8"/>
  <c r="AR18" i="8"/>
  <c r="AR19" i="8"/>
  <c r="AR17" i="8"/>
  <c r="AR15" i="8"/>
  <c r="AR16" i="8"/>
  <c r="AR14" i="8"/>
  <c r="AR13" i="8"/>
  <c r="AR12" i="8"/>
  <c r="AR10" i="8"/>
  <c r="AR11" i="8"/>
  <c r="AR9" i="8"/>
  <c r="AR7" i="8"/>
  <c r="AR8" i="8"/>
  <c r="AR6" i="8"/>
  <c r="AP2" i="8"/>
  <c r="AO2" i="8"/>
  <c r="AN2" i="8"/>
  <c r="AM2" i="8"/>
  <c r="AL2" i="8"/>
  <c r="AK2" i="8"/>
  <c r="AJ2" i="8"/>
  <c r="AI2" i="8"/>
  <c r="AH2" i="8"/>
  <c r="AG2" i="8"/>
  <c r="AF2" i="8"/>
  <c r="AE2" i="8"/>
  <c r="AD2" i="8"/>
  <c r="AC2" i="8"/>
  <c r="AB2" i="8"/>
  <c r="AA2" i="8"/>
  <c r="Z2" i="8"/>
  <c r="Y2" i="8"/>
  <c r="X2" i="8"/>
  <c r="W2" i="8"/>
  <c r="V2" i="8"/>
  <c r="U2" i="8"/>
  <c r="T2" i="8"/>
  <c r="S2" i="8"/>
  <c r="R2" i="8"/>
  <c r="Q2" i="8"/>
  <c r="P2" i="8"/>
  <c r="O2" i="8"/>
  <c r="N2" i="8"/>
  <c r="M2" i="8"/>
  <c r="L2" i="8"/>
  <c r="K2" i="8"/>
  <c r="J2" i="8"/>
  <c r="I2" i="8"/>
  <c r="H2" i="8"/>
  <c r="G2" i="8"/>
  <c r="F2" i="8"/>
  <c r="E2" i="8"/>
  <c r="D2" i="8"/>
  <c r="C2" i="8"/>
  <c r="B2" i="8"/>
  <c r="F2" i="5"/>
  <c r="D2" i="5"/>
  <c r="B2" i="5"/>
  <c r="F112" i="2"/>
  <c r="F20" i="3"/>
  <c r="AV13" i="8" l="1"/>
  <c r="AX13" i="8" s="1"/>
  <c r="AZ2" i="8" s="1"/>
  <c r="AV16" i="8"/>
  <c r="AX16" i="8" s="1"/>
  <c r="BC2" i="8" s="1"/>
  <c r="AV11" i="8"/>
  <c r="AX11" i="8" s="1"/>
  <c r="AX2" i="8" s="1"/>
  <c r="AV18" i="8"/>
  <c r="AX18" i="8" s="1"/>
  <c r="BE2" i="8" s="1"/>
  <c r="AV17" i="8"/>
  <c r="AX17" i="8" s="1"/>
  <c r="BD2" i="8" s="1"/>
  <c r="AV15" i="8"/>
  <c r="AX15" i="8" s="1"/>
  <c r="BB2" i="8" s="1"/>
  <c r="AV7" i="8"/>
  <c r="AX7" i="8" s="1"/>
  <c r="AT2" i="8" s="1"/>
  <c r="AV10" i="8"/>
  <c r="AX10" i="8" s="1"/>
  <c r="AW2" i="8" s="1"/>
  <c r="AV14" i="8"/>
  <c r="AX14" i="8" s="1"/>
  <c r="BA2" i="8" s="1"/>
  <c r="AV8" i="8"/>
  <c r="AX8" i="8" s="1"/>
  <c r="AU2" i="8" s="1"/>
  <c r="AV9" i="8"/>
  <c r="AX9" i="8" s="1"/>
  <c r="AV2" i="8" s="1"/>
  <c r="AV5" i="8"/>
  <c r="AX5" i="8" s="1"/>
  <c r="AR2" i="8" s="1"/>
  <c r="AV6" i="8"/>
  <c r="AX6" i="8" s="1"/>
  <c r="AS2" i="8" s="1"/>
  <c r="AV12" i="8"/>
  <c r="AX12" i="8" s="1"/>
  <c r="AY2" i="8" s="1"/>
  <c r="AS5" i="8"/>
  <c r="AS6" i="8" l="1"/>
  <c r="AQ2" i="8"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<sst xmlns="http://schemas.openxmlformats.org/spreadsheetml/2006/main" count="788" uniqueCount="706">
  <si>
    <t>GENERAL INFORMATION</t>
  </si>
  <si>
    <t>D-U-N-S® number</t>
  </si>
  <si>
    <t>Company registration number:</t>
  </si>
  <si>
    <t>CONTACT DETAILS</t>
  </si>
  <si>
    <t>TURNOVER &amp; CLIENTS</t>
  </si>
  <si>
    <t>Yes</t>
  </si>
  <si>
    <t>No</t>
  </si>
  <si>
    <t>If Yes, please fill the form below:</t>
  </si>
  <si>
    <t>ACTIVITIES</t>
  </si>
  <si>
    <t>Activities outsourced</t>
  </si>
  <si>
    <t>detailed description</t>
  </si>
  <si>
    <t xml:space="preserve">% Contractual value </t>
  </si>
  <si>
    <t>PEOPLE</t>
  </si>
  <si>
    <t>Annual Salary (average)</t>
  </si>
  <si>
    <t>OTHER INFORMATION</t>
  </si>
  <si>
    <t>RIF.</t>
  </si>
  <si>
    <t>1.1</t>
  </si>
  <si>
    <t>1.2</t>
  </si>
  <si>
    <t>Does your company adopt policies and control systems against discrimination?</t>
  </si>
  <si>
    <t>1.3</t>
  </si>
  <si>
    <t>1.4</t>
  </si>
  <si>
    <t>1.5</t>
  </si>
  <si>
    <t>1.6</t>
  </si>
  <si>
    <t>In the case of activated projects, what are the impact areas?</t>
  </si>
  <si>
    <t>Gender equality</t>
  </si>
  <si>
    <t>PMIs involvement</t>
  </si>
  <si>
    <t>Fair trade</t>
  </si>
  <si>
    <t>Other</t>
  </si>
  <si>
    <t>1.7</t>
  </si>
  <si>
    <t>1.8</t>
  </si>
  <si>
    <t>1.9</t>
  </si>
  <si>
    <t>1.10</t>
  </si>
  <si>
    <t>1.11</t>
  </si>
  <si>
    <t>ATTACHMENTS REQUESTED</t>
  </si>
  <si>
    <t>References</t>
  </si>
  <si>
    <t>Company profile (Creds)</t>
  </si>
  <si>
    <t>Certifications</t>
  </si>
  <si>
    <t>RFI - Request for Information</t>
  </si>
  <si>
    <r>
      <rPr>
        <b/>
        <sz val="10"/>
        <color theme="1"/>
        <rFont val="Century Gothic"/>
        <family val="1"/>
      </rPr>
      <t>Please provide a presentation (.pdf or .ppt file) summarizing the following items and questions:</t>
    </r>
    <r>
      <rPr>
        <b/>
        <sz val="10"/>
        <color rgb="FF1F497D"/>
        <rFont val="Century Gothic"/>
        <family val="1"/>
      </rPr>
      <t xml:space="preserve">
</t>
    </r>
    <r>
      <rPr>
        <sz val="10"/>
        <color theme="1"/>
        <rFont val="Century Gothic"/>
        <family val="1"/>
      </rPr>
      <t>At this stage we would like to see key agency capabilities and credentials before moving to a full pitch. Please use this opportunity to show off your agencies, your expertise and your achievements.</t>
    </r>
  </si>
  <si>
    <t>END</t>
  </si>
  <si>
    <t>SOCIAL RESPONSIBILITY</t>
  </si>
  <si>
    <t>ATTACHMENTS</t>
  </si>
  <si>
    <t># of employees</t>
  </si>
  <si>
    <t># of freelancers</t>
  </si>
  <si>
    <r>
      <rPr>
        <b/>
        <sz val="10"/>
        <color theme="1"/>
        <rFont val="Century Gothic"/>
        <family val="1"/>
      </rPr>
      <t>Your presentation should include the following:</t>
    </r>
    <r>
      <rPr>
        <sz val="10"/>
        <color theme="1"/>
        <rFont val="Century Gothic"/>
        <family val="1"/>
      </rPr>
      <t xml:space="preserve">
- Short agency presentation including key figures, key capabilities and services offered, main technologies and platforms managed, headcounts, organization, main clients.
- Expertise of your agency
- Management of International accounts : outline your organisational team structure and explain how you would deliverdigital strategies and activities across brands at a country level. Please provide client references.
- Please provide contact details for 2 current clients who would be happy to talk to us about their experiences of working with you.</t>
    </r>
  </si>
  <si>
    <t>NOTE</t>
  </si>
  <si>
    <t>REQUESTS</t>
  </si>
  <si>
    <t>Agency:</t>
  </si>
  <si>
    <t>Latest update</t>
  </si>
  <si>
    <t>Legal form:</t>
  </si>
  <si>
    <t>Currency of rates</t>
  </si>
  <si>
    <t>Australian Dollar - AUD</t>
  </si>
  <si>
    <t>British Pound - GBP</t>
  </si>
  <si>
    <t>Euro - EUR</t>
  </si>
  <si>
    <t>Japanese Yen - JPY</t>
  </si>
  <si>
    <t>Swiss Franc - CHF</t>
  </si>
  <si>
    <t>US Dollar - USD</t>
  </si>
  <si>
    <t>Afghanistan Afghani - AFN</t>
  </si>
  <si>
    <t>Albanian Lek - ALL</t>
  </si>
  <si>
    <t>Algerian Dinar - DZD</t>
  </si>
  <si>
    <t>Angolan Kwanza - AOA</t>
  </si>
  <si>
    <t>Argentine Peso - ARS</t>
  </si>
  <si>
    <t>Armenian Dram - AMD</t>
  </si>
  <si>
    <t>Aruban Florin - AWG</t>
  </si>
  <si>
    <t>Azerbaijan New Manat - AZN</t>
  </si>
  <si>
    <t>Bahamian Dollar - BSD</t>
  </si>
  <si>
    <t>Bahraini Dinar - BHD</t>
  </si>
  <si>
    <t>Bangladeshi Taka - BDT</t>
  </si>
  <si>
    <t>Barbados Dollar - BBD</t>
  </si>
  <si>
    <t>Belarusian Ruble - BYR</t>
  </si>
  <si>
    <t>Belize Dollar - BZD</t>
  </si>
  <si>
    <t>Bermudian Dollar - BMD</t>
  </si>
  <si>
    <t>Bhutan Ngultrum - BTN</t>
  </si>
  <si>
    <t>Bolivian Boliviano - BOB</t>
  </si>
  <si>
    <t>Bosnian Mark - BAM</t>
  </si>
  <si>
    <t>Botswana Pula - BWP</t>
  </si>
  <si>
    <t>Brazilian Real - BRL</t>
  </si>
  <si>
    <t>Brunei Dollar - BND</t>
  </si>
  <si>
    <t>Bulgarian Lev - BGN</t>
  </si>
  <si>
    <t>Burundi Franc - BIF</t>
  </si>
  <si>
    <t>CFA Franc BCEAO - XOF</t>
  </si>
  <si>
    <t>CFA Franc BEAC - XAF</t>
  </si>
  <si>
    <t>CFP Franc - XPF</t>
  </si>
  <si>
    <t>Cambodian Riel - KHR</t>
  </si>
  <si>
    <t>Canadian Dollar - CAD</t>
  </si>
  <si>
    <t>Cape Verde Escudo - CVE</t>
  </si>
  <si>
    <t>Cayman Islands Dollar - KYD</t>
  </si>
  <si>
    <t>Chilean Peso - CLP</t>
  </si>
  <si>
    <t>Chinese Yuan/Renminbi - CNY</t>
  </si>
  <si>
    <t>Colombian Peso - COP</t>
  </si>
  <si>
    <t>Comoros Franc - KMF</t>
  </si>
  <si>
    <t>Congolese Franc - CDF</t>
  </si>
  <si>
    <t>Costa Rican Colon - CRC</t>
  </si>
  <si>
    <t>Croatian Kuna - HRK</t>
  </si>
  <si>
    <t>Cuban Convertible Peso - CUC</t>
  </si>
  <si>
    <t>Cuban Peso - CUP</t>
  </si>
  <si>
    <t>Czech Koruna - CZK</t>
  </si>
  <si>
    <t>Danish Krone - DKK</t>
  </si>
  <si>
    <t>Djibouti Franc - DJF</t>
  </si>
  <si>
    <t>Dominican R Peso - DOP</t>
  </si>
  <si>
    <t>East Caribbean Dollar - XCD</t>
  </si>
  <si>
    <t>Egyptian Pound - EGP</t>
  </si>
  <si>
    <t>El Salvador Colon - SVC</t>
  </si>
  <si>
    <t>Ethiopian Birr - ETB</t>
  </si>
  <si>
    <t>Falkland Islands Pound - FKP</t>
  </si>
  <si>
    <t>Fiji Dollar - FJD</t>
  </si>
  <si>
    <t>Gambian Dalasi - GMD</t>
  </si>
  <si>
    <t>Georgian Lari - GEL</t>
  </si>
  <si>
    <t>Ghanaian New Cedi - GHS</t>
  </si>
  <si>
    <t>Gibraltar Pound - GIP</t>
  </si>
  <si>
    <t>Gold (oz) - XAU</t>
  </si>
  <si>
    <t>Guatemalan Quetzal - GTQ</t>
  </si>
  <si>
    <t>Guinea Franc - GNF</t>
  </si>
  <si>
    <t>Guyanese Dollar - GYD</t>
  </si>
  <si>
    <t>Haitian Gourde - HTG</t>
  </si>
  <si>
    <t>Honduran Lempira - HNL</t>
  </si>
  <si>
    <t>Hong Kong Dollar - HKD</t>
  </si>
  <si>
    <t>Hungarian Forint - HUF</t>
  </si>
  <si>
    <t>Iceland Krona - ISK</t>
  </si>
  <si>
    <t>Indian Rupee - INR</t>
  </si>
  <si>
    <t>Indonesian Rupiah - IDR</t>
  </si>
  <si>
    <t>Iranian Rial - IRR</t>
  </si>
  <si>
    <t>Iraqi Dinar - IQD</t>
  </si>
  <si>
    <t>Israeli New Shekel - ILS</t>
  </si>
  <si>
    <t>Jamaican Dollar - JMD</t>
  </si>
  <si>
    <t>Jordanian Dinar - JOD</t>
  </si>
  <si>
    <t>Kazakhstan Tenge - KZT</t>
  </si>
  <si>
    <t>Kenyan Shilling - KES</t>
  </si>
  <si>
    <t>Kuwaiti Dinar - KWD</t>
  </si>
  <si>
    <t>Kyrgyzstanian Som - KGS</t>
  </si>
  <si>
    <t>Lao Kip - LAK</t>
  </si>
  <si>
    <t>Latvian Lats - LVL</t>
  </si>
  <si>
    <t>Lebanese Pound - LBP</t>
  </si>
  <si>
    <t>Lesotho Loti - LSL</t>
  </si>
  <si>
    <t>Liberian Dollar - LRD</t>
  </si>
  <si>
    <t>Libyan Dinar - LYD</t>
  </si>
  <si>
    <t>Lithuanian Litas - LTL</t>
  </si>
  <si>
    <t>Macau Pataca - MOP</t>
  </si>
  <si>
    <t>Macedonian Denar - MKD</t>
  </si>
  <si>
    <t>Malagasy Ariary - MGA</t>
  </si>
  <si>
    <t>Malawi Kwacha - MWK</t>
  </si>
  <si>
    <t>Malaysian Ringgit - MYR</t>
  </si>
  <si>
    <t>Maldive Rufiyaa - MVR</t>
  </si>
  <si>
    <t>Mauritanian Ouguiya - MRO</t>
  </si>
  <si>
    <t>Mauritius Rupee - MUR</t>
  </si>
  <si>
    <t>Mexican Peso - MXN</t>
  </si>
  <si>
    <t>Moldovan Leu - MDL</t>
  </si>
  <si>
    <t>Mongolian Tugrik - MNT</t>
  </si>
  <si>
    <t>Moroccan Dirham - MAD</t>
  </si>
  <si>
    <t>Mozambique New Metical - MZN</t>
  </si>
  <si>
    <t>Myanmar Kyat - MMK</t>
  </si>
  <si>
    <t>NL Antillian Guilder - ANG</t>
  </si>
  <si>
    <t>Namibia Dollar - NAD</t>
  </si>
  <si>
    <t>Nepalese Rupee - NPR</t>
  </si>
  <si>
    <t>New Zealand Dollar - NZD</t>
  </si>
  <si>
    <t>Nicaraguan Cordoba Oro - NIO</t>
  </si>
  <si>
    <t>Nigerian Naira - NGN</t>
  </si>
  <si>
    <t>North Korean Won - KPW</t>
  </si>
  <si>
    <t>Norwegian Kroner - NOK</t>
  </si>
  <si>
    <t>Omani Rial - OMR</t>
  </si>
  <si>
    <t>Pakistan Rupee - PKR</t>
  </si>
  <si>
    <t>Panamanian Balboa - PAB</t>
  </si>
  <si>
    <t>Papua New Guinea Kina - PGK</t>
  </si>
  <si>
    <t>Paraguay Guarani - PYG</t>
  </si>
  <si>
    <t>Peruvian Nuevo Sol - PEN</t>
  </si>
  <si>
    <t>Philippine Peso - PHP</t>
  </si>
  <si>
    <t>Polish Zloty - PLN</t>
  </si>
  <si>
    <t>Qatari Rial - QAR</t>
  </si>
  <si>
    <t>Romanian New Lei - RON</t>
  </si>
  <si>
    <t>Russian Rouble - RUB</t>
  </si>
  <si>
    <t>Rwandan Franc - RWF</t>
  </si>
  <si>
    <t>Samoan Tala - WST</t>
  </si>
  <si>
    <t>Sao Tome/Principe Dobra - STD</t>
  </si>
  <si>
    <t>Saudi Riyal - SAR</t>
  </si>
  <si>
    <t>Serbian Dinar - RSD</t>
  </si>
  <si>
    <t>Seychelles Rupee - SCR</t>
  </si>
  <si>
    <t>Sierra Leone Leone - SLL</t>
  </si>
  <si>
    <t>Silver (oz) - XAG</t>
  </si>
  <si>
    <t>Singapore Dollar - SGD</t>
  </si>
  <si>
    <t>Solomon Islands Dollar - SBD</t>
  </si>
  <si>
    <t>Somali Shilling - SOS</t>
  </si>
  <si>
    <t>South African Rand - ZAR</t>
  </si>
  <si>
    <t>South-Korean Won - KRW</t>
  </si>
  <si>
    <t>Sri Lanka Rupee - LKR</t>
  </si>
  <si>
    <t>St Helena Pound - SHP</t>
  </si>
  <si>
    <t>Sudanese Pound - SDG</t>
  </si>
  <si>
    <t>Suriname Dollar - SRD</t>
  </si>
  <si>
    <t>Swaziland Lilangeni - SZL</t>
  </si>
  <si>
    <t>Swedish Krona - SEK</t>
  </si>
  <si>
    <t>Syrian Pound - SYP</t>
  </si>
  <si>
    <t>Taiwan Dollar - TWD</t>
  </si>
  <si>
    <t>Tanzanian Shilling - TZS</t>
  </si>
  <si>
    <t>Thai Baht - THB</t>
  </si>
  <si>
    <t>Tonga Pa'anga - TOP</t>
  </si>
  <si>
    <t>Trinidad/Tobago Dollar - TTD</t>
  </si>
  <si>
    <t>Tunisian Dinar - TND</t>
  </si>
  <si>
    <t>Turkish New Lira - TRY</t>
  </si>
  <si>
    <t>Turkmenistan Manat - TMT</t>
  </si>
  <si>
    <t>Uganda Shilling - UGX</t>
  </si>
  <si>
    <t>Ukraine Hryvnia - UAH</t>
  </si>
  <si>
    <t>Uruguayan Peso - UYU</t>
  </si>
  <si>
    <t>United Arab Emir Dirham - AED</t>
  </si>
  <si>
    <t>Vanuatu Vatu - VUV</t>
  </si>
  <si>
    <t>Venezuelan Bolivar - VEF</t>
  </si>
  <si>
    <t>Vietnamese Dong - VND</t>
  </si>
  <si>
    <t>Yemeni Rial - YER</t>
  </si>
  <si>
    <t>Zambian Kwacha - ZMK</t>
  </si>
  <si>
    <t>Zimbabwe Dollar - ZWD</t>
  </si>
  <si>
    <t>INVESTMENTS</t>
  </si>
  <si>
    <t>IT Equipment</t>
    <phoneticPr fontId="0" type="noConversion"/>
  </si>
  <si>
    <t>Innovation</t>
  </si>
  <si>
    <t>Sustainable development</t>
  </si>
  <si>
    <t>Media &amp; advertising</t>
  </si>
  <si>
    <t>Training</t>
  </si>
  <si>
    <t>Could you please present your strategic development orientation?</t>
  </si>
  <si>
    <t xml:space="preserve">Do you have any activity out of your Country / City? </t>
  </si>
  <si>
    <t>Registered Business Name</t>
  </si>
  <si>
    <t>VAT Registration Number</t>
  </si>
  <si>
    <t>Year enstablished:</t>
  </si>
  <si>
    <t>REGISTERED OFFICE ADDRESS</t>
  </si>
  <si>
    <t>Name</t>
  </si>
  <si>
    <t>Surname</t>
  </si>
  <si>
    <t>CEO</t>
  </si>
  <si>
    <t>Parent Company Name</t>
  </si>
  <si>
    <t>Address</t>
  </si>
  <si>
    <t>Postcode</t>
  </si>
  <si>
    <t>City</t>
  </si>
  <si>
    <t>Country</t>
  </si>
  <si>
    <t>Telephone</t>
  </si>
  <si>
    <t>Mobile</t>
  </si>
  <si>
    <t>Email</t>
  </si>
  <si>
    <t>Client Division</t>
  </si>
  <si>
    <t>Year</t>
  </si>
  <si>
    <t>Annual Revenue</t>
  </si>
  <si>
    <t>Industry</t>
  </si>
  <si>
    <t>Principal Activities</t>
  </si>
  <si>
    <t>Client incidence in %</t>
  </si>
  <si>
    <t>KNOWLEDGE &amp; COMPETENCIES</t>
  </si>
  <si>
    <t>Please indicate if your company subcontract activities or some phase of services</t>
  </si>
  <si>
    <t># of permanent employees as of the last fiscal year:</t>
  </si>
  <si>
    <t># of freelancers as of the last fiscal year:</t>
  </si>
  <si>
    <t>Social Inclusion (Disability &amp; Minorities)</t>
  </si>
  <si>
    <t>Does your company have gender equality policies in place?</t>
  </si>
  <si>
    <t>Does your company provide human rights education and training programmes?</t>
  </si>
  <si>
    <t>Does your company run projects in the social and environmental sectors?</t>
  </si>
  <si>
    <t>Has your company established partnerships with non-profits, social enterprises, or similar organisations?</t>
  </si>
  <si>
    <t xml:space="preserve">Has your company appointed a CSR Manager or established a dedicated organisational unit for Corporate Social Responsibility?		</t>
  </si>
  <si>
    <t xml:space="preserve">Does your company conduct periodic social reporting (e.g., social balance sheets, sustainability reports)?		</t>
  </si>
  <si>
    <t>Does your company apply ethical and environmental criteria when selecting suppliers?</t>
  </si>
  <si>
    <t>Does your company require its suppliers to hold social and/or environmental certifications?</t>
  </si>
  <si>
    <t>Does your company carry out awareness-raising initiatives on CSR for its suppliers?</t>
  </si>
  <si>
    <t>Organisational Chart</t>
  </si>
  <si>
    <t>Chamber of Commerce Extract/View</t>
  </si>
  <si>
    <t>Automotive &amp; Mobility</t>
  </si>
  <si>
    <t>Travel, Tourism &amp; Hospitality</t>
  </si>
  <si>
    <t>Communication Areas</t>
  </si>
  <si>
    <t>Food &amp; Beverage</t>
  </si>
  <si>
    <t>Healthcare &amp; Pharma</t>
  </si>
  <si>
    <t>Energy</t>
  </si>
  <si>
    <t>Beverage</t>
  </si>
  <si>
    <t>Duration of Engagement with the Client</t>
  </si>
  <si>
    <t>Please specify whether your company is currently working or has previously worked with the CLIENT.</t>
  </si>
  <si>
    <t>Lifestyle</t>
  </si>
  <si>
    <t>Pet Care</t>
  </si>
  <si>
    <t>Tobacco</t>
  </si>
  <si>
    <t>Sport &amp; Outdoor</t>
  </si>
  <si>
    <t>Beauty &amp; Personal Care</t>
  </si>
  <si>
    <t>Consumer Goods</t>
  </si>
  <si>
    <t>Corporate &amp; B2B</t>
  </si>
  <si>
    <t>Electronics &amp; Technology</t>
  </si>
  <si>
    <t>Entertainment &amp; Media</t>
  </si>
  <si>
    <t>Fashion &amp; Luxury</t>
  </si>
  <si>
    <t>Home &amp; Living</t>
  </si>
  <si>
    <t>Mobility &amp; Transportation</t>
  </si>
  <si>
    <t>Category</t>
  </si>
  <si>
    <t>Agency Currency</t>
  </si>
  <si>
    <t>Total</t>
  </si>
  <si>
    <t>Services</t>
  </si>
  <si>
    <t>Strategic Planning</t>
  </si>
  <si>
    <t>Campaign Creation</t>
  </si>
  <si>
    <t>Creative Production</t>
  </si>
  <si>
    <t>Reputation Management</t>
  </si>
  <si>
    <t>Media Relations</t>
  </si>
  <si>
    <t>Crisis Management</t>
  </si>
  <si>
    <t>Brand Audit</t>
  </si>
  <si>
    <t>Media Management</t>
  </si>
  <si>
    <t>Media Planning</t>
  </si>
  <si>
    <t>Media Buying</t>
  </si>
  <si>
    <t>Digital Marketing</t>
  </si>
  <si>
    <t>SEO</t>
  </si>
  <si>
    <t>SEM</t>
  </si>
  <si>
    <t>Note: Please complete the section below only upon receipt of this Request for Information (RFI) during a pitch process.</t>
  </si>
  <si>
    <t>Exclusivity</t>
  </si>
  <si>
    <t>Number of agency employees</t>
  </si>
  <si>
    <t>Afghanistan</t>
  </si>
  <si>
    <t>1 to 10</t>
  </si>
  <si>
    <t>Albania</t>
  </si>
  <si>
    <t>11 to 50</t>
  </si>
  <si>
    <t>Algeria</t>
  </si>
  <si>
    <t>51 to 100</t>
  </si>
  <si>
    <t>Andorra</t>
  </si>
  <si>
    <t>101 to 250</t>
  </si>
  <si>
    <t>Angola</t>
  </si>
  <si>
    <t>251 to 400</t>
  </si>
  <si>
    <t>Antigua and Barbuda</t>
  </si>
  <si>
    <t>401 +</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</si>
  <si>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</si>
  <si>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</si>
  <si>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</si>
  <si>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</si>
  <si>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</si>
  <si>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</si>
  <si>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</si>
  <si>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</si>
  <si>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</si>
  <si>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</si>
  <si>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</si>
  <si>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</si>
  <si>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</si>
  <si>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</si>
  <si>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</si>
  <si>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</si>
  <si>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</si>
  <si>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</si>
  <si>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</si>
  <si>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</si>
  <si>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t>
  </si>
  <si>
    <t>Burma (Myanmar)</t>
  </si>
  <si>
    <t>Burundi</t>
  </si>
  <si>
    <t>Cambodia</t>
  </si>
  <si>
    <t>Cameroon</t>
  </si>
  <si>
    <t>Canada</t>
  </si>
  <si>
    <t>Cape Verde</t>
  </si>
  <si>
    <t>Central African Republic</t>
  </si>
  <si>
    <t>Chad</t>
  </si>
  <si>
    <t>Chile</t>
  </si>
  <si>
    <t>China</t>
  </si>
  <si>
    <t>Colombia</t>
  </si>
  <si>
    <t>Comoros</t>
  </si>
  <si>
    <t>Congo</t>
  </si>
  <si>
    <t>Congo, Democratic Republic of</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</si>
  <si>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</si>
  <si>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</si>
  <si>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</si>
  <si>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</si>
  <si>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</si>
  <si>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</si>
  <si>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</si>
  <si>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</si>
  <si>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</si>
  <si>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</si>
  <si>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</si>
  <si>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</si>
  <si>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</si>
  <si>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</si>
  <si>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</si>
  <si>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</si>
  <si>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</si>
  <si>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</si>
  <si>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</si>
  <si>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</si>
  <si>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</si>
  <si>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</si>
  <si>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</si>
  <si>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</si>
  <si>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</si>
  <si>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</si>
  <si>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</si>
  <si>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</si>
  <si>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</si>
  <si>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</si>
  <si>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</si>
  <si>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</si>
  <si>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</si>
  <si>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</si>
  <si>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</si>
  <si>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</si>
  <si>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</si>
  <si>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</si>
  <si>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</si>
  <si>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</si>
  <si>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</si>
  <si>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</si>
  <si>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</si>
  <si>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</si>
  <si>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</si>
  <si>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</si>
  <si>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</si>
  <si>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</si>
  <si>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Kiribati</t>
  </si>
  <si>
    <t>Korea, North</t>
  </si>
  <si>
    <t>Korea, South</t>
  </si>
  <si>
    <t>Kuwait</t>
  </si>
  <si>
    <t>Kyrgyzstan</t>
  </si>
  <si>
    <t>Laos</t>
  </si>
  <si>
    <t>Latvia</t>
  </si>
  <si>
    <t>Lebanon</t>
  </si>
  <si>
    <t>Lesotho</t>
  </si>
  <si>
    <t>Liberia</t>
  </si>
  <si>
    <t>Libya</t>
  </si>
  <si>
    <t>Liechtenstein</t>
  </si>
  <si>
    <t>Lithuania</t>
  </si>
  <si>
    <t>Luxembourg</t>
  </si>
  <si>
    <t>Macedonia</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</si>
  <si>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</si>
  <si>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</si>
  <si>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</si>
  <si>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</si>
  <si>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</si>
  <si>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</si>
  <si>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</si>
  <si>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</si>
  <si>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</si>
  <si>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</si>
  <si>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</si>
  <si>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</si>
  <si>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</si>
  <si>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</si>
  <si>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</si>
  <si>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</si>
  <si>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</si>
  <si>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Namibia</t>
  </si>
  <si>
    <t>Nauru</t>
  </si>
  <si>
    <t>Nepal</t>
  </si>
  <si>
    <t>Netherlands</t>
  </si>
  <si>
    <t>New Zealand</t>
  </si>
  <si>
    <t>Nicaragua</t>
  </si>
  <si>
    <t>Niger</t>
  </si>
  <si>
    <t>Nigeria</t>
  </si>
  <si>
    <t>Norway</t>
  </si>
  <si>
    <t>Oman</t>
  </si>
  <si>
    <t>Pakistan</t>
  </si>
  <si>
    <t>Palau</t>
  </si>
  <si>
    <t>Panama</t>
  </si>
  <si>
    <t>Papua New Guinea</t>
  </si>
  <si>
    <t>Paraguay</t>
  </si>
  <si>
    <t>Peru</t>
  </si>
  <si>
    <t>Philippines</t>
  </si>
  <si>
    <t>Poland</t>
  </si>
  <si>
    <t>Portugal</t>
  </si>
  <si>
    <t>Qatar</t>
  </si>
  <si>
    <t>Romania</t>
  </si>
  <si>
    <t>Russia</t>
  </si>
  <si>
    <t>Rwanda</t>
  </si>
  <si>
    <t>Saint Kitts and Nevis</t>
  </si>
  <si>
    <t>Saint Lucia</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</si>
  <si>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</si>
  <si>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</si>
  <si>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</si>
  <si>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</si>
  <si>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</si>
  <si>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</si>
  <si>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</si>
  <si>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</si>
  <si>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</si>
  <si>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</si>
  <si>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</si>
  <si>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</si>
  <si>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</si>
  <si>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</si>
  <si>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</si>
  <si>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</si>
  <si>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</si>
  <si>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</si>
  <si>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</si>
  <si>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</si>
  <si>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</si>
  <si>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</si>
  <si>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</si>
  <si>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t>
  </si>
  <si>
    <t>Tajikistan</t>
  </si>
  <si>
    <t>Tanzania</t>
  </si>
  <si>
    <t>Thailand</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</si>
  <si>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</si>
  <si>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</si>
  <si>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</si>
  <si>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</si>
  <si>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</si>
  <si>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</si>
  <si>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</si>
  <si>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</si>
  <si>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</si>
  <si>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</si>
  <si>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</si>
  <si>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</si>
  <si>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</si>
  <si>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</si>
  <si>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</si>
  <si>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t>
  </si>
  <si>
    <t>Venezuela</t>
  </si>
  <si>
    <t>Vietnam</t>
  </si>
  <si>
    <t>Yemen</t>
  </si>
  <si>
    <t>Zambia</t>
  </si>
  <si>
    <t>Zimbabwe</t>
  </si>
  <si>
    <t># of Employees</t>
  </si>
  <si>
    <t>Main Clients</t>
  </si>
  <si>
    <t>GLOBAL</t>
  </si>
  <si>
    <t>EUROPE</t>
  </si>
  <si>
    <t>GOVERNANCE &amp; SOW</t>
  </si>
  <si>
    <t>Kindly detail the control and quality assurance systems established within your designated Creative Network for the purpose of monitoring and managing performance and Service Level Agreements (SLAs).</t>
  </si>
  <si>
    <t>Please outline the protocols in place for managing client data within your selected Creative Network, particularly if these differ from those of the Holding Group. Furthermore, please specify if your Creative Network utilises its own Data Management Platform (DMP).</t>
  </si>
  <si>
    <t>With regard to global brand governance, please clarify the distinction between global and local strategies. Describe the processes, including tools, systems, and the level of autonomy within a structured framework, employed to manage global governance and local adaptation.</t>
  </si>
  <si>
    <t>Does your company propose specific services and/or tool(s) and/or app(s) you'd like to mention?</t>
  </si>
  <si>
    <t>Please include any additional information that you deem pertinent.</t>
  </si>
  <si>
    <t>Note: Please complete the Annual Salary column only upon receipt of this Request for Information (RFI) during a pitch process.</t>
  </si>
  <si>
    <t>Which AI tools are your Agencies currently utilising?</t>
  </si>
  <si>
    <t>Are there any AI implementations your Agencies anticipate adopting in the foreseeable future?</t>
  </si>
  <si>
    <t>Please describe the benefits that the utilisation of AI can deliver, providing specific case examples.</t>
  </si>
  <si>
    <t>Please elaborate on the ethical aspects of AI usage, specifically describing your compliance with ethical standards and privacy protection principles.</t>
  </si>
  <si>
    <t>Kindly describe your approach to the mitigation of risks associated with AI use.</t>
  </si>
  <si>
    <t>Please delineate your areas of expertise in communication, with percentage allocations for each. (in the past 3 years).</t>
  </si>
  <si>
    <t>The purpose of this RFI is to collect all the preliminary information from the agency.</t>
  </si>
  <si>
    <t>It is important to read and understand the RFI document before filling out the template.</t>
  </si>
  <si>
    <r>
      <rPr>
        <b/>
        <sz val="10"/>
        <color theme="1"/>
        <rFont val="Century Gothic"/>
        <family val="1"/>
      </rPr>
      <t>NOTE</t>
    </r>
    <r>
      <rPr>
        <sz val="10"/>
        <color theme="1"/>
        <rFont val="Century Gothic"/>
        <family val="1"/>
      </rPr>
      <t xml:space="preserve">: Some infomation, if not completed, will be parameterized to industry benchmarks
</t>
    </r>
  </si>
  <si>
    <t>Confidential © | VA Consulting All Rights Reserved</t>
  </si>
  <si>
    <t>HQ Milan - Piazza Velasca, 6</t>
  </si>
  <si>
    <t>HQ Rome - Via Pistoia, 11</t>
  </si>
  <si>
    <t>Strategic &amp; Consulting</t>
  </si>
  <si>
    <t>Creative &amp; Content</t>
  </si>
  <si>
    <t>Audio / Visual Production</t>
  </si>
  <si>
    <t>PR &amp; Events</t>
  </si>
  <si>
    <t>Above the Line</t>
  </si>
  <si>
    <t>Below the Line</t>
  </si>
  <si>
    <t>Analytics &amp; Reporting</t>
  </si>
  <si>
    <t>Email &amp; Content Marketing</t>
  </si>
  <si>
    <t>Brand Identity Development</t>
  </si>
  <si>
    <t>Positioning Strategy Development</t>
  </si>
  <si>
    <t>Marketing Research</t>
  </si>
  <si>
    <t>Consumer Insight</t>
  </si>
  <si>
    <t>Creative Concept Development</t>
  </si>
  <si>
    <t>Content Creattion Copywriting</t>
  </si>
  <si>
    <t>Graphic Design</t>
  </si>
  <si>
    <t>Point of Sale Materials</t>
  </si>
  <si>
    <t>Photography</t>
  </si>
  <si>
    <t>Illustration</t>
  </si>
  <si>
    <t>Motion Graphics &amp; Animation</t>
  </si>
  <si>
    <t>Video Production</t>
  </si>
  <si>
    <t>Audio Production</t>
  </si>
  <si>
    <t>Post Production &amp; Editing</t>
  </si>
  <si>
    <t>Public Relations Strategy</t>
  </si>
  <si>
    <t>Influencer Relations</t>
  </si>
  <si>
    <t>Press Releases &amp; Press Kits</t>
  </si>
  <si>
    <t>Event Organization &amp; Mng</t>
  </si>
  <si>
    <t>Sponsorshi Management</t>
  </si>
  <si>
    <t>Experiental Marketing</t>
  </si>
  <si>
    <t>Media Agencies Coordination</t>
  </si>
  <si>
    <t>Broadcast Advertising</t>
  </si>
  <si>
    <t>OOH / DOOH</t>
  </si>
  <si>
    <t>Direct Marketing</t>
  </si>
  <si>
    <t>Promotional Marketing</t>
  </si>
  <si>
    <t>In-store Marketing</t>
  </si>
  <si>
    <t>Sampling Campaigns</t>
  </si>
  <si>
    <t>Merchandising Strategy</t>
  </si>
  <si>
    <t>Digital Strategy</t>
  </si>
  <si>
    <t>Display &amp; Programmatic adv</t>
  </si>
  <si>
    <t>Performance Marketing</t>
  </si>
  <si>
    <t>Digital Data Analysis / Reporting</t>
  </si>
  <si>
    <t>Social media &amp; Influencer Marketing</t>
  </si>
  <si>
    <t>Social Media Strategy &amp; Management</t>
  </si>
  <si>
    <t>Community Management</t>
  </si>
  <si>
    <t>Paid Social Campaigns</t>
  </si>
  <si>
    <t>Influencer Marketing Strategy</t>
  </si>
  <si>
    <t>Social Listening</t>
  </si>
  <si>
    <t>Sentiment Analysis</t>
  </si>
  <si>
    <t>Technology &amp; Digital</t>
  </si>
  <si>
    <t>Web Developmente &amp; Manteinance</t>
  </si>
  <si>
    <t>App Development</t>
  </si>
  <si>
    <t>E-commerce Solution</t>
  </si>
  <si>
    <t>UX/UI Design</t>
  </si>
  <si>
    <t>CRM Integration &amp; Management</t>
  </si>
  <si>
    <t>Marketing Automation</t>
  </si>
  <si>
    <t>Martech Implementation</t>
  </si>
  <si>
    <t>Results &amp; Campaign Analysis</t>
  </si>
  <si>
    <t>Data-driven Marketing Insights</t>
  </si>
  <si>
    <t>Consumer Behavior Analysis</t>
  </si>
  <si>
    <t>ROI &amp; Performance Measurement</t>
  </si>
  <si>
    <t>Email Marketing Campaigns</t>
  </si>
  <si>
    <t>Newsletter Development</t>
  </si>
  <si>
    <t>Content Marketing Strategy</t>
  </si>
  <si>
    <t>Blog &amp; Article Creation</t>
  </si>
  <si>
    <t>White Papers &amp; E-books</t>
  </si>
  <si>
    <r>
      <rPr>
        <b/>
        <sz val="10"/>
        <color theme="1"/>
        <rFont val="Century Gothic"/>
        <family val="2"/>
      </rPr>
      <t>Mobile:</t>
    </r>
    <r>
      <rPr>
        <sz val="10"/>
        <color theme="1"/>
        <rFont val="Century Gothic"/>
        <family val="2"/>
      </rPr>
      <t xml:space="preserve"> +39 3890482133 | </t>
    </r>
    <r>
      <rPr>
        <b/>
        <sz val="10"/>
        <color theme="1"/>
        <rFont val="Century Gothic"/>
        <family val="2"/>
      </rPr>
      <t>Email:</t>
    </r>
    <r>
      <rPr>
        <sz val="10"/>
        <color theme="1"/>
        <rFont val="Century Gothic"/>
        <family val="2"/>
      </rPr>
      <t xml:space="preserve"> andrea.cenciarelli@va-consulting.com</t>
    </r>
  </si>
  <si>
    <r>
      <rPr>
        <b/>
        <sz val="10"/>
        <color theme="1"/>
        <rFont val="Century Gothic"/>
        <family val="2"/>
      </rPr>
      <t>Mobile:</t>
    </r>
    <r>
      <rPr>
        <sz val="10"/>
        <color theme="1"/>
        <rFont val="Century Gothic"/>
        <family val="2"/>
      </rPr>
      <t xml:space="preserve"> +39 3455339480 | </t>
    </r>
    <r>
      <rPr>
        <b/>
        <sz val="10"/>
        <color theme="1"/>
        <rFont val="Century Gothic"/>
        <family val="2"/>
      </rPr>
      <t>Email:</t>
    </r>
    <r>
      <rPr>
        <sz val="10"/>
        <color theme="1"/>
        <rFont val="Century Gothic"/>
        <family val="2"/>
      </rPr>
      <t xml:space="preserve"> matteo.siffredi@va-consulting.com</t>
    </r>
  </si>
  <si>
    <r>
      <rPr>
        <b/>
        <sz val="10"/>
        <color theme="1"/>
        <rFont val="Century Gothic"/>
        <family val="2"/>
      </rPr>
      <t>Mobile:</t>
    </r>
    <r>
      <rPr>
        <sz val="10"/>
        <color theme="1"/>
        <rFont val="Century Gothic"/>
        <family val="2"/>
      </rPr>
      <t xml:space="preserve"> +39 3334755586 | </t>
    </r>
    <r>
      <rPr>
        <b/>
        <sz val="10"/>
        <color theme="1"/>
        <rFont val="Century Gothic"/>
        <family val="2"/>
      </rPr>
      <t>Email:</t>
    </r>
    <r>
      <rPr>
        <sz val="10"/>
        <color theme="1"/>
        <rFont val="Century Gothic"/>
        <family val="2"/>
      </rPr>
      <t xml:space="preserve"> martina.vietri@va-consulting.com</t>
    </r>
  </si>
  <si>
    <r>
      <rPr>
        <b/>
        <sz val="10"/>
        <color theme="1"/>
        <rFont val="Century Gothic"/>
        <family val="2"/>
      </rPr>
      <t>Mobile:</t>
    </r>
    <r>
      <rPr>
        <sz val="10"/>
        <color theme="1"/>
        <rFont val="Century Gothic"/>
        <family val="2"/>
      </rPr>
      <t xml:space="preserve"> +39 3356368868 | </t>
    </r>
    <r>
      <rPr>
        <b/>
        <sz val="10"/>
        <color theme="1"/>
        <rFont val="Century Gothic"/>
        <family val="2"/>
      </rPr>
      <t>Email:</t>
    </r>
    <r>
      <rPr>
        <sz val="10"/>
        <color theme="1"/>
        <rFont val="Century Gothic"/>
        <family val="2"/>
      </rPr>
      <t xml:space="preserve"> flavia.arbitrio@va-consulting.com</t>
    </r>
  </si>
  <si>
    <t>Executive &amp; Operation</t>
  </si>
  <si>
    <t>Senior Producer</t>
  </si>
  <si>
    <t>Junior Producer</t>
  </si>
  <si>
    <t>Trade Marketing</t>
  </si>
  <si>
    <t>Media</t>
  </si>
  <si>
    <t>Retail</t>
  </si>
  <si>
    <t>Point-of-Sale (POS) Materials</t>
  </si>
  <si>
    <t>Trade Events</t>
  </si>
  <si>
    <t>Distribution Channel Analysis</t>
  </si>
  <si>
    <t>Distributor Relationship Management</t>
  </si>
  <si>
    <t>Channel Promotions</t>
  </si>
  <si>
    <t>Visual Merchandising</t>
  </si>
  <si>
    <t>Retail Sales Analysis</t>
  </si>
  <si>
    <t>Media Space Buying</t>
  </si>
  <si>
    <t>Editorial Planning</t>
  </si>
  <si>
    <t>Media Content Development</t>
  </si>
  <si>
    <t>Impact Analysis</t>
  </si>
  <si>
    <t>Media Monitoring</t>
  </si>
  <si>
    <t>Omnichannel Retail Strategy</t>
  </si>
  <si>
    <t>Merchandising &amp; Planogramming</t>
  </si>
  <si>
    <t>In-Store Customer Experience</t>
  </si>
  <si>
    <t>Mobile: +39 3455339480 | Email: matteo.siffredi@va-consulting.com</t>
  </si>
  <si>
    <t>Mobile: +39 3355718508 | Email: stefano.arbitrio@va-consulting.com</t>
  </si>
  <si>
    <t xml:space="preserve">Agency </t>
  </si>
  <si>
    <t>AR G 2024</t>
  </si>
  <si>
    <t>AR G 2023</t>
  </si>
  <si>
    <t>AR G 2022</t>
  </si>
  <si>
    <t>AR G 2021</t>
  </si>
  <si>
    <t>AR G 2020</t>
  </si>
  <si>
    <t>EBIDTA G 2024</t>
  </si>
  <si>
    <t>EBIDTA G 2023</t>
  </si>
  <si>
    <t>EBIDTA G 2022</t>
  </si>
  <si>
    <t>EBIDTA G 2021</t>
  </si>
  <si>
    <t>EBIDTA G 2020</t>
  </si>
  <si>
    <t>AR L 2024</t>
  </si>
  <si>
    <t>AR L 2023</t>
  </si>
  <si>
    <t>AR L 2022</t>
  </si>
  <si>
    <t>AR L 2021</t>
  </si>
  <si>
    <t>AR L 2020</t>
  </si>
  <si>
    <t>EBIDTA L 2024</t>
  </si>
  <si>
    <t>EBIDTA L 2023</t>
  </si>
  <si>
    <t>EBIDTA L 2022</t>
  </si>
  <si>
    <t>EBIDTA L 2021</t>
  </si>
  <si>
    <t>EBIDTA L 2020</t>
  </si>
  <si>
    <t>Pre-Production</t>
  </si>
  <si>
    <t>Casting Scounting</t>
  </si>
  <si>
    <t xml:space="preserve">Director Scouting </t>
  </si>
  <si>
    <t>Location scouting</t>
  </si>
  <si>
    <t>Booklet creation</t>
  </si>
  <si>
    <t xml:space="preserve">Production </t>
  </si>
  <si>
    <t>Rental of technical equipment</t>
  </si>
  <si>
    <t>Crew</t>
  </si>
  <si>
    <t>Logistics for the client</t>
  </si>
  <si>
    <t>Logistics for the Agency</t>
  </si>
  <si>
    <t>Purchase of HDDs for footage</t>
  </si>
  <si>
    <t>Post-Production</t>
  </si>
  <si>
    <t>Coordination of post-production</t>
  </si>
  <si>
    <t>Possibility of delivering to broadcasters</t>
  </si>
  <si>
    <t>Delivery to post-production</t>
  </si>
  <si>
    <t>Executive Producer</t>
  </si>
  <si>
    <t>Production Manager</t>
  </si>
  <si>
    <t xml:space="preserve"> Production Coordinator</t>
  </si>
  <si>
    <t>Production Supervisor</t>
  </si>
  <si>
    <t>Coordinator</t>
  </si>
  <si>
    <t>Creative Research Lead</t>
  </si>
  <si>
    <t>NAM</t>
  </si>
  <si>
    <t>LATAM</t>
  </si>
  <si>
    <t>AFRICA</t>
  </si>
  <si>
    <t>DIRECTORS</t>
  </si>
  <si>
    <t>Priority</t>
  </si>
  <si>
    <t>Occasional collaboration</t>
  </si>
  <si>
    <t>Please indicate the main directors you have worked with and if you have an exclusive ,priority or an occasional relationship with them.</t>
  </si>
  <si>
    <t>POST PRODUCTION</t>
  </si>
  <si>
    <t>Location</t>
  </si>
  <si>
    <t>Audio</t>
  </si>
  <si>
    <t>Video</t>
  </si>
  <si>
    <t xml:space="preserve">Please; indicate whether you have an in-house post-production department. If so, which services does it cover (editing, color grading, VFX, sound design, etc.)?
</t>
  </si>
  <si>
    <t>If outsourced, which companies do you usually collaborate with?</t>
  </si>
  <si>
    <t>Year Enstablished:</t>
  </si>
  <si>
    <t>ORGANIZATION &amp; STRUCTURE</t>
  </si>
  <si>
    <t>Company Level</t>
  </si>
  <si>
    <t>Trade Organizations</t>
  </si>
  <si>
    <t>Country Coverage</t>
  </si>
  <si>
    <t>General Manager</t>
  </si>
  <si>
    <t>Business Director</t>
  </si>
  <si>
    <t>Linkedin</t>
  </si>
  <si>
    <t>SOCIAL MEDIA</t>
  </si>
  <si>
    <t>Official Website</t>
  </si>
  <si>
    <t>X (Twitter)</t>
  </si>
  <si>
    <t>Facebook</t>
  </si>
  <si>
    <t>Instagram</t>
  </si>
  <si>
    <t>Tiktok</t>
  </si>
  <si>
    <t>Pinterest</t>
  </si>
  <si>
    <t>Tumblr</t>
  </si>
  <si>
    <t>Snapchat</t>
  </si>
  <si>
    <t>Reddit</t>
  </si>
  <si>
    <t>Please provide revenue in euros using the full numeric format (e.g., 12.345.678,00 €).</t>
  </si>
  <si>
    <t>LOCAL</t>
  </si>
  <si>
    <t>APAC</t>
  </si>
  <si>
    <t>EBITA</t>
  </si>
  <si>
    <t>ABOUT</t>
  </si>
  <si>
    <t>About</t>
  </si>
  <si>
    <t>Philosophy &amp; Competitive Advantages</t>
  </si>
  <si>
    <t>Network Description</t>
  </si>
  <si>
    <t>Local Rapresentation</t>
  </si>
  <si>
    <t>AWARD</t>
  </si>
  <si>
    <t>Distinction</t>
  </si>
  <si>
    <t>Awarded Ad</t>
  </si>
  <si>
    <t>Brand</t>
  </si>
  <si>
    <t>The One Show</t>
  </si>
  <si>
    <t>D&amp;AD</t>
  </si>
  <si>
    <t>Clio Awards</t>
  </si>
  <si>
    <t>LIA</t>
  </si>
  <si>
    <t>AICP</t>
  </si>
  <si>
    <t>Ciclope Festival</t>
  </si>
  <si>
    <t>British Arrows</t>
  </si>
  <si>
    <t>Shots</t>
  </si>
  <si>
    <t>Creative Circle</t>
  </si>
  <si>
    <t>APA Show</t>
  </si>
  <si>
    <t>YDA</t>
  </si>
  <si>
    <t>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</si>
</sst>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3">
    <font>
      <sz val="11"/>
      <color theme="1"/>
      <name val="Calibri"/>
      <scheme val="minor"/>
    </font>
    <font>
      <sz val="11"/>
      <color theme="1"/>
      <name val="Calibri"/>
      <family val="2"/>
      <scheme val="minor"/>
    </font>
    <font>
      <sz val="11"/>
      <color theme="1"/>
      <name val="Calibri"/>
      <family val="2"/>
      <scheme val="minor"/>
    </font>
    <font>
      <sz val="12"/>
      <color theme="1"/>
      <name val="Calibri"/>
      <family val="2"/>
      <scheme val="minor"/>
    </font>
    <font>
      <sz val="10"/>
      <color theme="1"/>
      <name val="Century Gothic"/>
      <family val="1"/>
    </font>
    <font>
      <sz val="11"/>
      <color theme="1"/>
      <name val="Century Gothic"/>
      <family val="1"/>
    </font>
    <font>
      <b/>
      <sz val="10"/>
      <color theme="0"/>
      <name val="Century Gothic"/>
      <family val="1"/>
    </font>
    <font>
      <b/>
      <sz val="10"/>
      <color rgb="FF1F497D"/>
      <name val="Century Gothic"/>
      <family val="1"/>
    </font>
    <font>
      <b/>
      <sz val="10"/>
      <color theme="1"/>
      <name val="Century Gothic"/>
      <family val="1"/>
    </font>
    <font>
      <b/>
      <sz val="10"/>
      <color rgb="FF993300"/>
      <name val="Century Gothic"/>
      <family val="1"/>
    </font>
    <font>
      <sz val="10"/>
      <color rgb="FF000000"/>
      <name val="Century Gothic"/>
      <family val="1"/>
    </font>
    <font>
      <sz val="10"/>
      <color rgb="FFFF0000"/>
      <name val="Century Gothic"/>
      <family val="1"/>
    </font>
    <font>
      <sz val="10"/>
      <color theme="0"/>
      <name val="Century Gothic"/>
      <family val="1"/>
    </font>
    <font>
      <sz val="10"/>
      <color rgb="FFB1953A"/>
      <name val="Century Gothic"/>
      <family val="1"/>
    </font>
    <font>
      <sz val="11"/>
      <color theme="1"/>
      <name val="Calibri"/>
      <family val="2"/>
      <scheme val="minor"/>
    </font>
    <font>
      <b/>
      <sz val="16"/>
      <color theme="1"/>
      <name val="Century Gothic Grassetto"/>
    </font>
    <font>
      <sz val="15"/>
      <color rgb="FF000000"/>
      <name val="Helvetica Neue"/>
      <family val="2"/>
    </font>
    <font>
      <sz val="10"/>
      <color theme="1"/>
      <name val="Calibri"/>
      <family val="2"/>
      <scheme val="minor"/>
    </font>
    <font>
      <sz val="10"/>
      <color theme="1"/>
      <name val="Century Gothic"/>
      <family val="2"/>
    </font>
    <font>
      <b/>
      <sz val="11"/>
      <color theme="0"/>
      <name val="Calibri"/>
      <family val="2"/>
      <scheme val="minor"/>
    </font>
    <font>
      <sz val="10"/>
      <color rgb="FF000000"/>
      <name val="Calibri"/>
      <family val="2"/>
      <scheme val="minor"/>
    </font>
    <font>
      <b/>
      <sz val="10"/>
      <color rgb="FF001C54"/>
      <name val="Century Gothic"/>
      <family val="1"/>
    </font>
    <font>
      <b/>
      <sz val="11"/>
      <color theme="1"/>
      <name val="Calibri"/>
      <family val="2"/>
      <scheme val="minor"/>
    </font>
    <font>
      <sz val="11"/>
      <color theme="1"/>
      <name val="Calibri"/>
      <family val="2"/>
      <scheme val="minor"/>
    </font>
    <font>
      <b/>
      <sz val="16"/>
      <color rgb="FF001C54"/>
      <name val="Century Gothic"/>
      <family val="1"/>
    </font>
    <font>
      <b/>
      <sz val="10"/>
      <color theme="1"/>
      <name val="Century Gothic"/>
      <family val="2"/>
    </font>
    <font>
      <sz val="10"/>
      <name val="Century Gothic"/>
      <family val="1"/>
    </font>
    <font>
      <sz val="11"/>
      <color theme="1"/>
      <name val="Calibri"/>
      <family val="2"/>
      <scheme val="minor"/>
    </font>
    <font>
      <sz val="11"/>
      <color theme="1"/>
      <name val="Calibri"/>
      <family val="2"/>
      <scheme val="minor"/>
    </font>
    <font>
      <sz val="8"/>
      <color theme="1"/>
      <name val="Century Gothic"/>
      <family val="1"/>
    </font>
    <font>
      <sz val="9"/>
      <color theme="1"/>
      <name val="Century Gothic"/>
      <family val="2"/>
    </font>
    <font>
      <sz val="9"/>
      <color rgb="FF000000"/>
      <name val="Century Gothic"/>
      <family val="2"/>
    </font>
    <font>
      <sz val="10"/>
      <color rgb="FF000000"/>
      <name val="Century Gothic"/>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1C54"/>
        <bgColor indexed="64"/>
      </patternFill>
    </fill>
    <fill>
      <patternFill patternType="solid">
        <fgColor theme="0"/>
        <bgColor rgb="FFDBE5F1"/>
      </patternFill>
    </fill>
    <fill>
      <patternFill patternType="solid">
        <fgColor rgb="FF001C54"/>
        <bgColor theme="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4.9989318521683403E-2"/>
        <bgColor theme="0"/>
      </patternFill>
    </fill>
    <fill>
      <patternFill patternType="solid">
        <fgColor theme="0" tint="-4.9989318521683403E-2"/>
        <bgColor rgb="FFFFFF00"/>
      </patternFill>
    </fill>
    <fill>
      <patternFill patternType="solid">
        <fgColor rgb="FFE1E5F9"/>
        <bgColor indexed="64"/>
      </patternFill>
    </fill>
    <fill>
      <patternFill patternType="solid">
        <fgColor theme="0" tint="-0.34998626667073579"/>
        <bgColor indexed="64"/>
      </patternFill>
    </fill>
    <fill>
      <patternFill patternType="solid">
        <fgColor theme="0"/>
        <bgColor theme="0"/>
      </patternFill>
    </fill>
  </fills>
  <borders count="28">
    <border>
      <left/>
      <right/>
      <top/>
      <bottom/>
      <diagonal/>
    </border>
    <border>
      <left/>
      <right/>
      <top/>
      <bottom/>
      <diagonal/>
    </border>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rgb="FFB1953A"/>
      </bottom>
      <diagonal/>
    </border>
    <border>
      <left/>
      <right/>
      <top style="thin">
        <color theme="0" tint="-0.249977111117893"/>
      </top>
      <bottom style="thin">
        <color theme="0" tint="-0.249977111117893"/>
      </bottom>
      <diagonal/>
    </border>
    <border>
      <left style="thin">
        <color theme="1"/>
      </left>
      <right style="thin">
        <color theme="1"/>
      </right>
      <top style="thin">
        <color theme="1"/>
      </top>
      <bottom style="thin">
        <color theme="1"/>
      </bottom>
      <diagonal/>
    </border>
    <border>
      <left style="thin">
        <color theme="0" tint="-0.249977111117893"/>
      </left>
      <right/>
      <top style="thin">
        <color theme="0" tint="-0.249977111117893"/>
      </top>
      <bottom style="thin">
        <color theme="0" tint="-0.249977111117893"/>
      </bottom>
      <diagonal/>
    </border>
    <border>
      <left style="medium">
        <color rgb="FFB1953A"/>
      </left>
      <right/>
      <top style="medium">
        <color rgb="FFB1953A"/>
      </top>
      <bottom/>
      <diagonal/>
    </border>
    <border>
      <left/>
      <right/>
      <top style="medium">
        <color rgb="FFB1953A"/>
      </top>
      <bottom/>
      <diagonal/>
    </border>
    <border>
      <left/>
      <right style="medium">
        <color rgb="FFB1953A"/>
      </right>
      <top style="medium">
        <color rgb="FFB1953A"/>
      </top>
      <bottom/>
      <diagonal/>
    </border>
    <border>
      <left style="medium">
        <color rgb="FFB1953A"/>
      </left>
      <right/>
      <top/>
      <bottom/>
      <diagonal/>
    </border>
    <border>
      <left/>
      <right style="medium">
        <color rgb="FFB1953A"/>
      </right>
      <top/>
      <bottom/>
      <diagonal/>
    </border>
    <border>
      <left style="medium">
        <color rgb="FFB1953A"/>
      </left>
      <right/>
      <top/>
      <bottom style="medium">
        <color rgb="FFB1953A"/>
      </bottom>
      <diagonal/>
    </border>
    <border>
      <left/>
      <right/>
      <top/>
      <bottom style="medium">
        <color rgb="FFB1953A"/>
      </bottom>
      <diagonal/>
    </border>
    <border>
      <left/>
      <right style="medium">
        <color rgb="FFB1953A"/>
      </right>
      <top/>
      <bottom style="medium">
        <color rgb="FFB1953A"/>
      </bottom>
      <diagonal/>
    </border>
    <border>
      <left style="thin">
        <color theme="0" tint="-0.249977111117893"/>
      </left>
      <right style="thin">
        <color theme="0" tint="-0.249977111117893"/>
      </right>
      <top style="thin">
        <color theme="0" tint="-0.249977111117893"/>
      </top>
      <bottom/>
      <diagonal/>
    </border>
    <border>
      <left/>
      <right/>
      <top/>
      <bottom style="thin">
        <color theme="0" tint="-0.249977111117893"/>
      </bottom>
      <diagonal/>
    </border>
    <border>
      <left/>
      <right style="thin">
        <color theme="0" tint="-0.249977111117893"/>
      </right>
      <top/>
      <bottom/>
      <diagonal/>
    </border>
    <border>
      <left style="thin">
        <color indexed="64"/>
      </left>
      <right style="thin">
        <color indexed="64"/>
      </right>
      <top style="thin">
        <color indexed="64"/>
      </top>
      <bottom style="thin">
        <color indexed="64"/>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rgb="FFBFBFBF"/>
      </left>
      <right/>
      <top style="thin">
        <color rgb="FFBFBFBF"/>
      </top>
      <bottom style="thin">
        <color rgb="FFBFBFBF"/>
      </bottom>
      <diagonal/>
    </border>
    <border>
      <left style="thin">
        <color theme="0" tint="-0.249977111117893"/>
      </left>
      <right/>
      <top/>
      <bottom/>
      <diagonal/>
    </border>
  </borders>
  <cellStyleXfs count="10">
    <xf numFmtId="0" fontId="0" fillId="0" borderId="0"/>
    <xf numFmtId="0" fontId="3" fillId="0" borderId="2"/>
    <xf numFmtId="0" fontId="14" fillId="0" borderId="2"/>
    <xf numFmtId="0" fontId="18" fillId="0" borderId="2"/>
    <xf numFmtId="0" fontId="20" fillId="0" borderId="2"/>
    <xf numFmtId="0" fontId="14" fillId="0" borderId="2"/>
    <xf numFmtId="9" fontId="23" fillId="0" borderId="0" applyFont="0" applyFill="0" applyBorder="0" applyAlignment="0" applyProtection="0"/>
    <xf numFmtId="0" fontId="27" fillId="0" borderId="2"/>
    <xf numFmtId="9" fontId="1" fillId="0" borderId="2" applyFont="0" applyFill="0" applyBorder="0" applyAlignment="0" applyProtection="0"/>
    <xf numFmtId="44" fontId="28" fillId="0" borderId="0" applyFont="0" applyFill="0" applyBorder="0" applyAlignment="0" applyProtection="0"/>
  </cellStyleXfs>
  <cellXfs count="240">
    <xf numFmtId="0" fontId="0" fillId="0" borderId="0" xfId="0"/>
    <xf numFmtId="0" fontId="4" fillId="0" borderId="0" xfId="0" applyFont="1" applyProtection="1">
      <protection hidden="1"/>
    </xf>
    <xf numFmtId="0" fontId="13" fillId="0" borderId="0" xfId="0" applyFont="1" applyAlignment="1" applyProtection="1">
      <alignment vertical="center"/>
      <protection hidden="1"/>
    </xf>
    <xf numFmtId="0" fontId="4" fillId="0" borderId="5" xfId="0" applyFont="1" applyBorder="1" applyProtection="1">
      <protection hidden="1"/>
    </xf>
    <xf numFmtId="0" fontId="4" fillId="0" borderId="2" xfId="0" applyFont="1" applyBorder="1" applyProtection="1">
      <protection hidden="1"/>
    </xf>
    <xf numFmtId="0" fontId="10" fillId="0" borderId="0" xfId="0" applyFont="1" applyAlignment="1" applyProtection="1">
      <alignment horizontal="left"/>
      <protection hidden="1"/>
    </xf>
    <xf numFmtId="0" fontId="14" fillId="2" borderId="2" xfId="2" applyFill="1" applyProtection="1">
      <protection hidden="1"/>
    </xf>
    <xf numFmtId="0" fontId="14" fillId="2" borderId="2" xfId="2" applyFill="1" applyAlignment="1" applyProtection="1">
      <alignment horizontal="left"/>
      <protection hidden="1"/>
    </xf>
    <xf numFmtId="0" fontId="18" fillId="0" borderId="2" xfId="3" applyAlignment="1" applyProtection="1">
      <alignment horizontal="left"/>
      <protection hidden="1"/>
    </xf>
    <xf numFmtId="0" fontId="18" fillId="0" borderId="2" xfId="3" applyProtection="1">
      <protection hidden="1"/>
    </xf>
    <xf numFmtId="0" fontId="19" fillId="4" borderId="7" xfId="3" applyFont="1" applyFill="1" applyBorder="1" applyAlignment="1" applyProtection="1">
      <alignment horizontal="left"/>
      <protection hidden="1"/>
    </xf>
    <xf numFmtId="0" fontId="18" fillId="3" borderId="7" xfId="3" applyFill="1" applyBorder="1" applyAlignment="1" applyProtection="1">
      <alignment horizontal="left"/>
      <protection hidden="1"/>
    </xf>
    <xf numFmtId="16" fontId="4" fillId="5" borderId="2" xfId="0" applyNumberFormat="1" applyFont="1" applyFill="1" applyBorder="1" applyAlignment="1" applyProtection="1">
      <alignment vertical="center"/>
      <protection hidden="1"/>
    </xf>
    <xf numFmtId="0" fontId="4" fillId="5" borderId="2" xfId="0" applyFont="1" applyFill="1" applyBorder="1" applyAlignment="1" applyProtection="1">
      <alignment horizontal="left" vertical="center" wrapText="1"/>
      <protection hidden="1"/>
    </xf>
    <xf numFmtId="0" fontId="14" fillId="2" borderId="9" xfId="2" applyFill="1" applyBorder="1" applyProtection="1">
      <protection hidden="1"/>
    </xf>
    <xf numFmtId="0" fontId="14" fillId="2" borderId="10" xfId="2" applyFill="1" applyBorder="1" applyProtection="1">
      <protection hidden="1"/>
    </xf>
    <xf numFmtId="0" fontId="14" fillId="2" borderId="11" xfId="2" applyFill="1" applyBorder="1" applyProtection="1">
      <protection hidden="1"/>
    </xf>
    <xf numFmtId="0" fontId="14" fillId="2" borderId="12" xfId="2" applyFill="1" applyBorder="1" applyProtection="1">
      <protection hidden="1"/>
    </xf>
    <xf numFmtId="0" fontId="14" fillId="2" borderId="13" xfId="2" applyFill="1" applyBorder="1" applyProtection="1">
      <protection hidden="1"/>
    </xf>
    <xf numFmtId="0" fontId="15" fillId="2" borderId="2" xfId="2" applyFont="1" applyFill="1" applyAlignment="1" applyProtection="1">
      <alignment horizontal="center" vertical="center"/>
      <protection hidden="1"/>
    </xf>
    <xf numFmtId="0" fontId="15" fillId="7" borderId="2" xfId="2" applyFont="1" applyFill="1" applyAlignment="1" applyProtection="1">
      <alignment vertical="center"/>
      <protection locked="0"/>
    </xf>
    <xf numFmtId="0" fontId="14" fillId="0" borderId="2" xfId="2" applyProtection="1">
      <protection hidden="1"/>
    </xf>
    <xf numFmtId="0" fontId="4" fillId="2" borderId="2" xfId="2" applyFont="1" applyFill="1" applyAlignment="1" applyProtection="1">
      <alignment horizontal="left" vertical="top" wrapText="1"/>
      <protection hidden="1"/>
    </xf>
    <xf numFmtId="0" fontId="14" fillId="2" borderId="12" xfId="2" applyFill="1" applyBorder="1" applyAlignment="1" applyProtection="1">
      <alignment horizontal="left"/>
      <protection hidden="1"/>
    </xf>
    <xf numFmtId="0" fontId="14" fillId="2" borderId="13" xfId="2" applyFill="1" applyBorder="1" applyAlignment="1" applyProtection="1">
      <alignment horizontal="left"/>
      <protection hidden="1"/>
    </xf>
    <xf numFmtId="0" fontId="14" fillId="2" borderId="2" xfId="2" applyFill="1" applyAlignment="1" applyProtection="1">
      <alignment vertical="top"/>
      <protection hidden="1"/>
    </xf>
    <xf numFmtId="0" fontId="5" fillId="2" borderId="2" xfId="2" applyFont="1" applyFill="1" applyAlignment="1" applyProtection="1">
      <alignment horizontal="right"/>
      <protection hidden="1"/>
    </xf>
    <xf numFmtId="0" fontId="14" fillId="2" borderId="14" xfId="2" applyFill="1" applyBorder="1" applyProtection="1">
      <protection hidden="1"/>
    </xf>
    <xf numFmtId="0" fontId="14" fillId="2" borderId="15" xfId="2" applyFill="1" applyBorder="1" applyProtection="1">
      <protection hidden="1"/>
    </xf>
    <xf numFmtId="0" fontId="14" fillId="2" borderId="16" xfId="2" applyFill="1" applyBorder="1" applyProtection="1">
      <protection hidden="1"/>
    </xf>
    <xf numFmtId="14" fontId="5" fillId="2" borderId="2" xfId="2" applyNumberFormat="1" applyFont="1" applyFill="1" applyAlignment="1" applyProtection="1">
      <alignment horizontal="left"/>
      <protection hidden="1"/>
    </xf>
    <xf numFmtId="0" fontId="4" fillId="2" borderId="2" xfId="0" applyFont="1" applyFill="1" applyBorder="1" applyProtection="1">
      <protection hidden="1"/>
    </xf>
    <xf numFmtId="0" fontId="4" fillId="8" borderId="0" xfId="0" applyFont="1" applyFill="1" applyProtection="1">
      <protection hidden="1"/>
    </xf>
    <xf numFmtId="0" fontId="4" fillId="8" borderId="0" xfId="0" applyFont="1" applyFill="1" applyAlignment="1" applyProtection="1">
      <alignment horizontal="right"/>
      <protection hidden="1"/>
    </xf>
    <xf numFmtId="0" fontId="10" fillId="8" borderId="2" xfId="0" applyFont="1" applyFill="1" applyBorder="1" applyAlignment="1" applyProtection="1">
      <alignment horizontal="right"/>
      <protection hidden="1"/>
    </xf>
    <xf numFmtId="0" fontId="4" fillId="8" borderId="2" xfId="0" applyFont="1" applyFill="1" applyBorder="1" applyProtection="1">
      <protection hidden="1"/>
    </xf>
    <xf numFmtId="0" fontId="12" fillId="8" borderId="2" xfId="0" applyFont="1" applyFill="1" applyBorder="1" applyAlignment="1" applyProtection="1">
      <alignment horizontal="center" vertical="center"/>
      <protection hidden="1"/>
    </xf>
    <xf numFmtId="0" fontId="4" fillId="2" borderId="0" xfId="0" applyFont="1" applyFill="1" applyProtection="1">
      <protection hidden="1"/>
    </xf>
    <xf numFmtId="0" fontId="10" fillId="8" borderId="0" xfId="0" applyFont="1" applyFill="1" applyAlignment="1" applyProtection="1">
      <alignment horizontal="left"/>
      <protection hidden="1"/>
    </xf>
    <xf numFmtId="0" fontId="4" fillId="10" borderId="1" xfId="0" applyFont="1" applyFill="1" applyBorder="1" applyAlignment="1" applyProtection="1">
      <alignment horizontal="right"/>
      <protection hidden="1"/>
    </xf>
    <xf numFmtId="0" fontId="4" fillId="10" borderId="2" xfId="0" applyFont="1" applyFill="1" applyBorder="1" applyAlignment="1" applyProtection="1">
      <alignment horizontal="right"/>
      <protection hidden="1"/>
    </xf>
    <xf numFmtId="0" fontId="4" fillId="9" borderId="2" xfId="0" applyFont="1" applyFill="1" applyBorder="1" applyProtection="1">
      <protection hidden="1"/>
    </xf>
    <xf numFmtId="0" fontId="4" fillId="10" borderId="2" xfId="0" applyFont="1" applyFill="1" applyBorder="1" applyAlignment="1" applyProtection="1">
      <alignment horizontal="center"/>
      <protection hidden="1"/>
    </xf>
    <xf numFmtId="0" fontId="4" fillId="10" borderId="2" xfId="0" applyFont="1" applyFill="1" applyBorder="1" applyProtection="1">
      <protection hidden="1"/>
    </xf>
    <xf numFmtId="0" fontId="4" fillId="10" borderId="1" xfId="0" applyFont="1" applyFill="1" applyBorder="1" applyProtection="1">
      <protection hidden="1"/>
    </xf>
    <xf numFmtId="0" fontId="4" fillId="11" borderId="2" xfId="0" applyFont="1" applyFill="1" applyBorder="1" applyProtection="1">
      <protection hidden="1"/>
    </xf>
    <xf numFmtId="0" fontId="4" fillId="10" borderId="1" xfId="0" applyFont="1" applyFill="1" applyBorder="1" applyAlignment="1" applyProtection="1">
      <alignment horizontal="center"/>
      <protection hidden="1"/>
    </xf>
    <xf numFmtId="0" fontId="7" fillId="8" borderId="0" xfId="0" applyFont="1" applyFill="1" applyAlignment="1" applyProtection="1">
      <alignment horizontal="left" wrapText="1"/>
      <protection hidden="1"/>
    </xf>
    <xf numFmtId="0" fontId="4" fillId="10" borderId="0" xfId="0" applyFont="1" applyFill="1" applyAlignment="1" applyProtection="1">
      <alignment horizontal="center"/>
      <protection hidden="1"/>
    </xf>
    <xf numFmtId="0" fontId="11" fillId="8" borderId="2" xfId="0" applyFont="1" applyFill="1" applyBorder="1" applyAlignment="1" applyProtection="1">
      <alignment vertical="center"/>
      <protection hidden="1"/>
    </xf>
    <xf numFmtId="0" fontId="8" fillId="8" borderId="0" xfId="0" applyFont="1" applyFill="1" applyAlignment="1" applyProtection="1">
      <alignment horizontal="left"/>
      <protection hidden="1"/>
    </xf>
    <xf numFmtId="0" fontId="4" fillId="8" borderId="2" xfId="0" applyFont="1" applyFill="1" applyBorder="1" applyAlignment="1" applyProtection="1">
      <alignment vertical="center"/>
      <protection hidden="1"/>
    </xf>
    <xf numFmtId="0" fontId="4" fillId="8" borderId="0" xfId="0" applyFont="1" applyFill="1" applyAlignment="1" applyProtection="1">
      <alignment horizontal="right" vertical="center" wrapText="1"/>
      <protection hidden="1"/>
    </xf>
    <xf numFmtId="0" fontId="21" fillId="0" borderId="0" xfId="0" applyFont="1" applyAlignment="1" applyProtection="1">
      <alignment horizontal="center" vertical="center"/>
      <protection hidden="1"/>
    </xf>
    <xf numFmtId="0" fontId="21" fillId="0" borderId="5" xfId="0" applyFont="1" applyBorder="1" applyAlignment="1" applyProtection="1">
      <alignment horizontal="left" vertical="center"/>
      <protection hidden="1"/>
    </xf>
    <xf numFmtId="0" fontId="21" fillId="0" borderId="2" xfId="0" applyFont="1" applyBorder="1" applyAlignment="1" applyProtection="1">
      <alignment horizontal="left" vertical="center"/>
      <protection hidden="1"/>
    </xf>
    <xf numFmtId="0" fontId="4" fillId="8" borderId="2" xfId="0" applyFont="1" applyFill="1" applyBorder="1" applyAlignment="1" applyProtection="1">
      <alignment vertical="center" wrapText="1"/>
      <protection hidden="1"/>
    </xf>
    <xf numFmtId="0" fontId="4" fillId="9" borderId="2" xfId="0" applyFont="1" applyFill="1" applyBorder="1" applyAlignment="1" applyProtection="1">
      <alignment horizontal="left" vertical="center"/>
      <protection hidden="1"/>
    </xf>
    <xf numFmtId="0" fontId="4" fillId="9" borderId="2" xfId="0" applyFont="1" applyFill="1" applyBorder="1" applyAlignment="1" applyProtection="1">
      <alignment horizontal="left" vertical="top" wrapText="1"/>
      <protection hidden="1"/>
    </xf>
    <xf numFmtId="0" fontId="4" fillId="8" borderId="2" xfId="0" applyFont="1" applyFill="1" applyBorder="1" applyAlignment="1" applyProtection="1">
      <alignment horizontal="center"/>
      <protection hidden="1"/>
    </xf>
    <xf numFmtId="16" fontId="4" fillId="9" borderId="2" xfId="0" applyNumberFormat="1" applyFont="1" applyFill="1" applyBorder="1" applyAlignment="1" applyProtection="1">
      <alignment vertical="center"/>
      <protection hidden="1"/>
    </xf>
    <xf numFmtId="0" fontId="4" fillId="9" borderId="2" xfId="0" applyFont="1" applyFill="1" applyBorder="1" applyAlignment="1" applyProtection="1">
      <alignment horizontal="left" vertical="center" wrapText="1"/>
      <protection hidden="1"/>
    </xf>
    <xf numFmtId="0" fontId="4" fillId="10" borderId="2" xfId="0" applyFont="1" applyFill="1" applyBorder="1" applyAlignment="1" applyProtection="1">
      <alignment wrapText="1"/>
      <protection hidden="1"/>
    </xf>
    <xf numFmtId="0" fontId="4" fillId="11" borderId="2" xfId="0" applyFont="1" applyFill="1" applyBorder="1" applyAlignment="1" applyProtection="1">
      <alignment horizontal="left"/>
      <protection hidden="1"/>
    </xf>
    <xf numFmtId="0" fontId="21" fillId="8" borderId="2" xfId="0" applyFont="1" applyFill="1" applyBorder="1" applyAlignment="1" applyProtection="1">
      <alignment horizontal="left" vertical="center"/>
      <protection hidden="1"/>
    </xf>
    <xf numFmtId="0" fontId="4" fillId="8" borderId="2" xfId="0" applyFont="1" applyFill="1" applyBorder="1" applyAlignment="1" applyProtection="1">
      <alignment horizontal="center" vertical="center" textRotation="90" wrapText="1"/>
      <protection hidden="1"/>
    </xf>
    <xf numFmtId="16" fontId="4" fillId="9" borderId="2" xfId="0" applyNumberFormat="1" applyFont="1" applyFill="1" applyBorder="1" applyAlignment="1" applyProtection="1">
      <alignment horizontal="left" vertical="center"/>
      <protection hidden="1"/>
    </xf>
    <xf numFmtId="0" fontId="4" fillId="11" borderId="2" xfId="0" applyFont="1" applyFill="1" applyBorder="1" applyAlignment="1" applyProtection="1">
      <alignment wrapText="1"/>
      <protection hidden="1"/>
    </xf>
    <xf numFmtId="0" fontId="4" fillId="0" borderId="8" xfId="0" applyFont="1" applyBorder="1" applyProtection="1">
      <protection hidden="1"/>
    </xf>
    <xf numFmtId="0" fontId="4" fillId="8" borderId="0" xfId="0" applyFont="1" applyFill="1" applyAlignment="1" applyProtection="1">
      <alignment horizontal="left"/>
      <protection hidden="1"/>
    </xf>
    <xf numFmtId="0" fontId="19" fillId="4" borderId="20" xfId="3" applyFont="1" applyFill="1" applyBorder="1" applyAlignment="1" applyProtection="1">
      <alignment horizontal="left"/>
      <protection hidden="1"/>
    </xf>
    <xf numFmtId="0" fontId="18" fillId="3" borderId="20" xfId="3" applyFill="1" applyBorder="1" applyAlignment="1" applyProtection="1">
      <alignment horizontal="left"/>
      <protection hidden="1"/>
    </xf>
    <xf numFmtId="0" fontId="10" fillId="8" borderId="2" xfId="4" applyFont="1" applyFill="1" applyProtection="1">
      <protection hidden="1"/>
    </xf>
    <xf numFmtId="0" fontId="10" fillId="8" borderId="2" xfId="4" applyFont="1" applyFill="1" applyAlignment="1" applyProtection="1">
      <alignment horizontal="right" vertical="center"/>
      <protection hidden="1"/>
    </xf>
    <xf numFmtId="0" fontId="10" fillId="8" borderId="2" xfId="4" applyFont="1" applyFill="1" applyAlignment="1" applyProtection="1">
      <alignment horizontal="left" vertical="center"/>
      <protection hidden="1"/>
    </xf>
    <xf numFmtId="0" fontId="10" fillId="8" borderId="2" xfId="4" applyFont="1" applyFill="1" applyAlignment="1" applyProtection="1">
      <alignment horizontal="left" vertical="center" wrapText="1"/>
      <protection hidden="1"/>
    </xf>
    <xf numFmtId="0" fontId="10" fillId="2" borderId="2" xfId="4" applyFont="1" applyFill="1" applyAlignment="1" applyProtection="1">
      <alignment horizontal="center" vertical="top"/>
      <protection hidden="1"/>
    </xf>
    <xf numFmtId="0" fontId="4" fillId="8" borderId="2" xfId="0" applyFont="1" applyFill="1" applyBorder="1" applyAlignment="1" applyProtection="1">
      <alignment wrapText="1"/>
      <protection hidden="1"/>
    </xf>
    <xf numFmtId="0" fontId="22" fillId="0" borderId="0" xfId="0" applyFont="1" applyProtection="1">
      <protection hidden="1"/>
    </xf>
    <xf numFmtId="0" fontId="4" fillId="5" borderId="2" xfId="0" applyFont="1" applyFill="1" applyBorder="1" applyAlignment="1" applyProtection="1">
      <alignment horizontal="left" vertical="center"/>
      <protection hidden="1"/>
    </xf>
    <xf numFmtId="0" fontId="4" fillId="5" borderId="2" xfId="0" applyFont="1" applyFill="1" applyBorder="1" applyAlignment="1" applyProtection="1">
      <alignment wrapText="1"/>
      <protection hidden="1"/>
    </xf>
    <xf numFmtId="0" fontId="4" fillId="9" borderId="1" xfId="0" applyFont="1" applyFill="1" applyBorder="1" applyProtection="1">
      <protection hidden="1"/>
    </xf>
    <xf numFmtId="0" fontId="4" fillId="8"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vertical="center" wrapText="1"/>
      <protection hidden="1"/>
    </xf>
    <xf numFmtId="0" fontId="4" fillId="2" borderId="2" xfId="0" applyFont="1" applyFill="1" applyBorder="1" applyAlignment="1" applyProtection="1">
      <alignment horizontal="center" vertical="center" wrapText="1"/>
      <protection hidden="1"/>
    </xf>
    <xf numFmtId="0" fontId="4" fillId="8" borderId="0" xfId="0" applyFont="1" applyFill="1" applyProtection="1">
      <protection locked="0"/>
    </xf>
    <xf numFmtId="0" fontId="4" fillId="2" borderId="6"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4"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8"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3"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8" borderId="2" xfId="5" applyFont="1" applyFill="1" applyAlignment="1" applyProtection="1">
      <alignment horizontal="center"/>
      <protection locked="0"/>
      <extLst>
        <ext xmlns:xfpb="http://schemas.microsoft.com/office/spreadsheetml/2022/featurepropertybag" uri="{C7286773-470A-42A8-94C5-96B5CB345126}">
          <xfpb:xfComplement i="0"/>
        </ext>
      </extLst>
    </xf>
    <xf numFmtId="0" fontId="4" fillId="8" borderId="2" xfId="0" applyFont="1" applyFill="1" applyBorder="1" applyProtection="1">
      <protection locked="0"/>
    </xf>
    <xf numFmtId="0" fontId="2" fillId="8" borderId="0" xfId="0" applyFont="1" applyFill="1" applyProtection="1">
      <protection hidden="1"/>
    </xf>
    <xf numFmtId="0" fontId="18" fillId="0" borderId="0" xfId="0" applyFont="1" applyProtection="1">
      <protection hidden="1"/>
    </xf>
    <xf numFmtId="0" fontId="16" fillId="0" borderId="2" xfId="2" applyFont="1" applyProtection="1">
      <protection hidden="1"/>
    </xf>
    <xf numFmtId="9" fontId="4" fillId="0" borderId="0" xfId="6" applyFont="1" applyFill="1" applyProtection="1">
      <protection hidden="1"/>
    </xf>
    <xf numFmtId="9" fontId="26" fillId="0" borderId="0" xfId="6" applyFont="1" applyFill="1" applyProtection="1">
      <protection hidden="1"/>
    </xf>
    <xf numFmtId="0" fontId="4" fillId="0" borderId="6" xfId="0" applyFont="1" applyBorder="1" applyAlignment="1" applyProtection="1">
      <alignment horizontal="left"/>
      <protection hidden="1"/>
    </xf>
    <xf numFmtId="0" fontId="27" fillId="0" borderId="2" xfId="7" applyProtection="1">
      <protection hidden="1"/>
    </xf>
    <xf numFmtId="0" fontId="4" fillId="14" borderId="26" xfId="7" applyFont="1" applyFill="1" applyBorder="1" applyProtection="1">
      <protection hidden="1"/>
    </xf>
    <xf numFmtId="0" fontId="22" fillId="0" borderId="2" xfId="7" applyFont="1" applyAlignment="1" applyProtection="1">
      <alignment horizontal="center"/>
      <protection hidden="1"/>
    </xf>
    <xf numFmtId="0" fontId="0" fillId="0" borderId="0" xfId="0" applyProtection="1">
      <protection hidden="1"/>
      <extLst>
        <ext xmlns:xfpb="http://schemas.microsoft.com/office/spreadsheetml/2022/featurepropertybag" uri="{C7286773-470A-42A8-94C5-96B5CB345126}">
          <xfpb:xfComplement i="0"/>
        </ext>
      </extLst>
    </xf>
    <xf numFmtId="9" fontId="27" fillId="0" borderId="2" xfId="7" applyNumberFormat="1" applyProtection="1">
      <protection hidden="1"/>
    </xf>
    <xf numFmtId="9" fontId="0" fillId="0" borderId="2" xfId="8" applyFont="1" applyProtection="1">
      <protection hidden="1"/>
    </xf>
    <xf numFmtId="9" fontId="0" fillId="0" borderId="2" xfId="8" applyFont="1" applyProtection="1">
      <protection hidden="1"/>
      <extLst>
        <ext xmlns:xfpb="http://schemas.microsoft.com/office/spreadsheetml/2022/featurepropertybag" uri="{C7286773-470A-42A8-94C5-96B5CB345126}">
          <xfpb:xfComplement i="0"/>
        </ext>
      </extLst>
    </xf>
    <xf numFmtId="10" fontId="0" fillId="0" borderId="2" xfId="8" applyNumberFormat="1" applyFont="1" applyProtection="1">
      <protection hidden="1"/>
    </xf>
    <xf numFmtId="0" fontId="4" fillId="0" borderId="6" xfId="0" applyFont="1" applyBorder="1" applyProtection="1">
      <protection hidden="1"/>
    </xf>
    <xf numFmtId="0" fontId="4" fillId="0" borderId="4" xfId="0" applyFont="1" applyBorder="1" applyProtection="1">
      <protection hidden="1"/>
    </xf>
    <xf numFmtId="9" fontId="4" fillId="0" borderId="2" xfId="8" applyFont="1" applyFill="1" applyProtection="1">
      <protection hidden="1"/>
    </xf>
    <xf numFmtId="0" fontId="4" fillId="5" borderId="8" xfId="0" applyFont="1" applyFill="1" applyBorder="1" applyAlignment="1" applyProtection="1">
      <alignment horizontal="center"/>
      <protection locked="0"/>
    </xf>
    <xf numFmtId="0" fontId="4" fillId="5" borderId="6" xfId="0" applyFont="1" applyFill="1" applyBorder="1" applyAlignment="1" applyProtection="1">
      <alignment horizontal="center"/>
      <protection locked="0"/>
    </xf>
    <xf numFmtId="0" fontId="4" fillId="5" borderId="4" xfId="0" applyFont="1" applyFill="1" applyBorder="1" applyAlignment="1" applyProtection="1">
      <alignment horizontal="center"/>
      <protection locked="0"/>
    </xf>
    <xf numFmtId="0" fontId="10" fillId="8" borderId="2" xfId="0" applyFont="1" applyFill="1" applyBorder="1" applyProtection="1">
      <protection hidden="1"/>
    </xf>
    <xf numFmtId="0" fontId="4" fillId="0" borderId="4" xfId="0" applyFont="1" applyBorder="1" applyAlignment="1" applyProtection="1">
      <alignment horizontal="left"/>
      <protection hidden="1"/>
    </xf>
    <xf numFmtId="0" fontId="4" fillId="0" borderId="8" xfId="0" applyFont="1" applyBorder="1" applyAlignment="1" applyProtection="1">
      <alignment horizontal="left"/>
      <protection hidden="1"/>
    </xf>
    <xf numFmtId="0" fontId="4" fillId="8" borderId="0" xfId="0" applyFont="1" applyFill="1" applyAlignment="1" applyProtection="1">
      <alignment wrapText="1"/>
      <protection hidden="1"/>
    </xf>
    <xf numFmtId="0" fontId="4" fillId="8" borderId="0" xfId="0" applyFont="1" applyFill="1" applyAlignment="1" applyProtection="1">
      <alignment horizontal="left" vertical="top" wrapText="1"/>
      <protection hidden="1"/>
    </xf>
    <xf numFmtId="0" fontId="4" fillId="2" borderId="2" xfId="2" applyFont="1" applyFill="1" applyAlignment="1" applyProtection="1">
      <alignment horizontal="left" vertical="top" wrapText="1"/>
      <protection hidden="1"/>
    </xf>
    <xf numFmtId="0" fontId="15" fillId="2" borderId="2" xfId="2" applyFont="1" applyFill="1" applyAlignment="1" applyProtection="1">
      <alignment horizontal="center" vertical="center"/>
      <protection hidden="1"/>
    </xf>
    <xf numFmtId="0" fontId="17" fillId="2" borderId="2" xfId="2" applyFont="1" applyFill="1" applyAlignment="1" applyProtection="1">
      <alignment horizontal="left" vertical="top" wrapText="1"/>
      <protection hidden="1"/>
    </xf>
    <xf numFmtId="0" fontId="4" fillId="8" borderId="0" xfId="0" applyFont="1" applyFill="1" applyAlignment="1" applyProtection="1">
      <alignment horizontal="left" wrapText="1"/>
      <protection hidden="1"/>
    </xf>
    <xf numFmtId="0" fontId="4" fillId="8" borderId="0" xfId="0" applyFont="1" applyFill="1" applyAlignment="1" applyProtection="1">
      <alignment horizontal="left" vertical="top" wrapText="1"/>
      <protection hidden="1"/>
    </xf>
    <xf numFmtId="0" fontId="4" fillId="0" borderId="8" xfId="0" applyFont="1" applyBorder="1" applyAlignment="1" applyProtection="1">
      <alignment horizontal="left"/>
      <protection hidden="1"/>
    </xf>
    <xf numFmtId="0" fontId="4" fillId="0" borderId="6" xfId="0" applyFont="1" applyBorder="1" applyAlignment="1" applyProtection="1">
      <alignment horizontal="left"/>
      <protection hidden="1"/>
    </xf>
    <xf numFmtId="0" fontId="4" fillId="0" borderId="4" xfId="0" applyFont="1" applyBorder="1" applyAlignment="1" applyProtection="1">
      <alignment horizontal="left"/>
      <protection hidden="1"/>
    </xf>
    <xf numFmtId="0" fontId="4" fillId="0" borderId="8" xfId="0" applyFont="1" applyBorder="1" applyAlignment="1" applyProtection="1">
      <alignment horizontal="center"/>
      <protection hidden="1"/>
      <extLst>
        <ext xmlns:xfpb="http://schemas.microsoft.com/office/spreadsheetml/2022/featurepropertybag" uri="{C7286773-470A-42A8-94C5-96B5CB345126}">
          <xfpb:xfComplement i="0"/>
        </ext>
      </extLst>
    </xf>
    <xf numFmtId="0" fontId="4" fillId="0" borderId="6" xfId="0" applyFont="1" applyBorder="1" applyAlignment="1" applyProtection="1">
      <alignment horizontal="center"/>
      <protection hidden="1"/>
      <extLst>
        <ext xmlns:xfpb="http://schemas.microsoft.com/office/spreadsheetml/2022/featurepropertybag" uri="{C7286773-470A-42A8-94C5-96B5CB345126}">
          <xfpb:xfComplement i="0"/>
        </ext>
      </extLst>
    </xf>
    <xf numFmtId="0" fontId="4" fillId="0" borderId="4" xfId="0" applyFont="1" applyBorder="1" applyAlignment="1" applyProtection="1">
      <alignment horizontal="center"/>
      <protection hidden="1"/>
      <extLst>
        <ext xmlns:xfpb="http://schemas.microsoft.com/office/spreadsheetml/2022/featurepropertybag" uri="{C7286773-470A-42A8-94C5-96B5CB345126}">
          <xfpb:xfComplement i="0"/>
        </ext>
      </extLst>
    </xf>
    <xf numFmtId="0" fontId="6" fillId="4" borderId="8" xfId="0" applyFont="1" applyFill="1" applyBorder="1" applyAlignment="1" applyProtection="1">
      <alignment horizontal="left"/>
      <protection hidden="1"/>
    </xf>
    <xf numFmtId="0" fontId="6" fillId="4" borderId="6" xfId="0" applyFont="1" applyFill="1" applyBorder="1" applyAlignment="1" applyProtection="1">
      <alignment horizontal="left"/>
      <protection hidden="1"/>
    </xf>
    <xf numFmtId="0" fontId="6" fillId="4" borderId="4" xfId="0" applyFont="1" applyFill="1" applyBorder="1" applyAlignment="1" applyProtection="1">
      <alignment horizontal="left"/>
      <protection hidden="1"/>
    </xf>
    <xf numFmtId="0" fontId="6" fillId="4" borderId="8" xfId="0" applyFont="1" applyFill="1" applyBorder="1" applyAlignment="1" applyProtection="1">
      <alignment horizontal="center"/>
      <protection hidden="1"/>
    </xf>
    <xf numFmtId="0" fontId="6" fillId="4" borderId="6" xfId="0" applyFont="1" applyFill="1" applyBorder="1" applyAlignment="1" applyProtection="1">
      <alignment horizontal="center"/>
      <protection hidden="1"/>
    </xf>
    <xf numFmtId="0" fontId="6" fillId="4" borderId="4" xfId="0" applyFont="1" applyFill="1" applyBorder="1" applyAlignment="1" applyProtection="1">
      <alignment horizontal="center"/>
      <protection hidden="1"/>
    </xf>
    <xf numFmtId="0" fontId="4" fillId="5" borderId="8"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5" borderId="6"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5" borderId="4"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5" borderId="8" xfId="0" applyFont="1" applyFill="1" applyBorder="1" applyAlignment="1" applyProtection="1">
      <alignment horizontal="center"/>
      <protection locked="0"/>
    </xf>
    <xf numFmtId="0" fontId="4" fillId="5" borderId="6" xfId="0" applyFont="1" applyFill="1" applyBorder="1" applyAlignment="1" applyProtection="1">
      <alignment horizontal="center"/>
      <protection locked="0"/>
    </xf>
    <xf numFmtId="0" fontId="4" fillId="5" borderId="4" xfId="0" applyFont="1" applyFill="1" applyBorder="1" applyAlignment="1" applyProtection="1">
      <alignment horizontal="center"/>
      <protection locked="0"/>
    </xf>
    <xf numFmtId="0" fontId="12" fillId="4" borderId="8" xfId="0" applyFont="1" applyFill="1" applyBorder="1" applyAlignment="1" applyProtection="1">
      <alignment horizontal="center" vertical="center"/>
      <protection hidden="1"/>
    </xf>
    <xf numFmtId="0" fontId="12" fillId="4" borderId="6" xfId="0" applyFont="1" applyFill="1" applyBorder="1" applyAlignment="1" applyProtection="1">
      <alignment horizontal="center" vertical="center"/>
      <protection hidden="1"/>
    </xf>
    <xf numFmtId="0" fontId="12" fillId="4" borderId="4" xfId="0" applyFont="1" applyFill="1" applyBorder="1" applyAlignment="1" applyProtection="1">
      <alignment horizontal="center" vertical="center"/>
      <protection hidden="1"/>
    </xf>
    <xf numFmtId="0" fontId="12" fillId="4" borderId="21" xfId="0" applyFont="1" applyFill="1" applyBorder="1" applyAlignment="1" applyProtection="1">
      <alignment horizontal="center" vertical="center"/>
      <protection hidden="1"/>
    </xf>
    <xf numFmtId="0" fontId="12" fillId="4" borderId="18" xfId="0" applyFont="1" applyFill="1" applyBorder="1" applyAlignment="1" applyProtection="1">
      <alignment horizontal="center" vertical="center"/>
      <protection hidden="1"/>
    </xf>
    <xf numFmtId="0" fontId="12" fillId="4" borderId="22" xfId="0" applyFont="1" applyFill="1" applyBorder="1" applyAlignment="1" applyProtection="1">
      <alignment horizontal="center" vertical="center"/>
      <protection hidden="1"/>
    </xf>
    <xf numFmtId="0" fontId="10" fillId="8" borderId="2" xfId="0" applyFont="1" applyFill="1" applyBorder="1" applyAlignment="1" applyProtection="1">
      <alignment horizontal="right"/>
      <protection hidden="1"/>
    </xf>
    <xf numFmtId="0" fontId="10" fillId="2" borderId="3" xfId="4" applyFont="1" applyFill="1" applyBorder="1" applyAlignment="1" applyProtection="1">
      <alignment horizontal="center" vertical="top"/>
      <protection locked="0"/>
    </xf>
    <xf numFmtId="0" fontId="4" fillId="0" borderId="6" xfId="0" applyFont="1" applyBorder="1" applyAlignment="1" applyProtection="1">
      <alignment horizontal="center"/>
      <protection hidden="1"/>
    </xf>
    <xf numFmtId="0" fontId="4" fillId="0" borderId="4" xfId="0" applyFont="1" applyBorder="1" applyAlignment="1" applyProtection="1">
      <alignment horizontal="center"/>
      <protection hidden="1"/>
    </xf>
    <xf numFmtId="0" fontId="8" fillId="12" borderId="8" xfId="1" applyFont="1" applyFill="1" applyBorder="1" applyAlignment="1" applyProtection="1">
      <alignment horizontal="center"/>
      <protection hidden="1"/>
    </xf>
    <xf numFmtId="0" fontId="8" fillId="12" borderId="6" xfId="1" applyFont="1" applyFill="1" applyBorder="1" applyAlignment="1" applyProtection="1">
      <alignment horizontal="center"/>
      <protection hidden="1"/>
    </xf>
    <xf numFmtId="0" fontId="8" fillId="12" borderId="4" xfId="1" applyFont="1" applyFill="1" applyBorder="1" applyAlignment="1" applyProtection="1">
      <alignment horizontal="center"/>
      <protection hidden="1"/>
    </xf>
    <xf numFmtId="0" fontId="6" fillId="4" borderId="3" xfId="0" applyFont="1" applyFill="1" applyBorder="1" applyAlignment="1" applyProtection="1">
      <alignment horizontal="center" vertical="center"/>
      <protection hidden="1"/>
    </xf>
    <xf numFmtId="0" fontId="4" fillId="2" borderId="6"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4"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4" fillId="2" borderId="6" xfId="0" applyFont="1" applyFill="1" applyBorder="1" applyAlignment="1" applyProtection="1">
      <alignment horizontal="left"/>
      <protection hidden="1"/>
    </xf>
    <xf numFmtId="0" fontId="4" fillId="2" borderId="4" xfId="0" applyFont="1" applyFill="1" applyBorder="1" applyAlignment="1" applyProtection="1">
      <alignment horizontal="left"/>
      <protection hidden="1"/>
    </xf>
    <xf numFmtId="0" fontId="10" fillId="2" borderId="8" xfId="4" applyFont="1" applyFill="1" applyBorder="1" applyAlignment="1" applyProtection="1">
      <alignment horizontal="center" vertical="top"/>
      <protection locked="0"/>
    </xf>
    <xf numFmtId="0" fontId="10" fillId="2" borderId="6" xfId="4" applyFont="1" applyFill="1" applyBorder="1" applyAlignment="1" applyProtection="1">
      <alignment horizontal="center" vertical="top"/>
      <protection locked="0"/>
    </xf>
    <xf numFmtId="0" fontId="10" fillId="2" borderId="4" xfId="4" applyFont="1" applyFill="1" applyBorder="1" applyAlignment="1" applyProtection="1">
      <alignment horizontal="center" vertical="top"/>
      <protection locked="0"/>
    </xf>
    <xf numFmtId="0" fontId="12" fillId="8" borderId="2" xfId="0" applyFont="1" applyFill="1" applyBorder="1" applyAlignment="1" applyProtection="1">
      <alignment horizontal="center" vertical="center"/>
      <protection hidden="1"/>
    </xf>
    <xf numFmtId="0" fontId="6" fillId="4" borderId="8" xfId="0" applyFont="1" applyFill="1" applyBorder="1" applyAlignment="1" applyProtection="1">
      <alignment horizontal="center" vertical="center"/>
      <protection hidden="1"/>
    </xf>
    <xf numFmtId="0" fontId="24" fillId="0" borderId="2" xfId="0" applyFont="1" applyBorder="1" applyAlignment="1" applyProtection="1">
      <alignment horizontal="center" vertical="center"/>
      <protection hidden="1"/>
    </xf>
    <xf numFmtId="0" fontId="4" fillId="5" borderId="3" xfId="0" applyFont="1" applyFill="1" applyBorder="1" applyAlignment="1" applyProtection="1">
      <alignment horizontal="left" vertical="center"/>
      <protection hidden="1"/>
    </xf>
    <xf numFmtId="0" fontId="6" fillId="6" borderId="3" xfId="0" applyFont="1" applyFill="1" applyBorder="1" applyAlignment="1" applyProtection="1">
      <alignment horizontal="left" vertical="center" wrapText="1"/>
      <protection hidden="1"/>
    </xf>
    <xf numFmtId="0" fontId="6" fillId="6" borderId="3"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protection locked="0"/>
    </xf>
    <xf numFmtId="0" fontId="4" fillId="5" borderId="3" xfId="0" applyFont="1" applyFill="1" applyBorder="1" applyAlignment="1" applyProtection="1">
      <alignment horizontal="left" vertical="top" wrapText="1"/>
      <protection hidden="1"/>
    </xf>
    <xf numFmtId="0" fontId="4" fillId="5" borderId="3" xfId="0" applyFont="1" applyFill="1" applyBorder="1" applyAlignment="1" applyProtection="1">
      <alignment horizontal="left" vertical="center" wrapText="1"/>
      <protection hidden="1"/>
    </xf>
    <xf numFmtId="0" fontId="9" fillId="5" borderId="3" xfId="0" applyFont="1" applyFill="1" applyBorder="1" applyAlignment="1" applyProtection="1">
      <alignment horizontal="center"/>
      <protection locked="0"/>
    </xf>
    <xf numFmtId="0" fontId="12" fillId="4" borderId="3" xfId="0" applyFont="1" applyFill="1" applyBorder="1" applyAlignment="1" applyProtection="1">
      <alignment horizontal="center" vertical="center"/>
      <protection hidden="1"/>
    </xf>
    <xf numFmtId="0" fontId="4" fillId="0" borderId="3" xfId="0" applyFont="1" applyBorder="1" applyAlignment="1" applyProtection="1">
      <alignment horizontal="center"/>
      <protection locked="0"/>
    </xf>
    <xf numFmtId="0" fontId="4" fillId="0" borderId="3" xfId="0" applyFont="1" applyBorder="1" applyAlignment="1" applyProtection="1">
      <alignment horizontal="left"/>
      <protection hidden="1"/>
    </xf>
    <xf numFmtId="0" fontId="6" fillId="4" borderId="3" xfId="0" applyFont="1" applyFill="1" applyBorder="1" applyAlignment="1" applyProtection="1">
      <alignment horizontal="center"/>
      <protection hidden="1"/>
    </xf>
    <xf numFmtId="0" fontId="4" fillId="2" borderId="3" xfId="0" applyFont="1" applyFill="1" applyBorder="1" applyAlignment="1" applyProtection="1">
      <alignment horizontal="center" vertical="center" wrapText="1"/>
      <protection locked="0"/>
    </xf>
    <xf numFmtId="0" fontId="4" fillId="8" borderId="2" xfId="0" applyFont="1" applyFill="1" applyBorder="1" applyAlignment="1" applyProtection="1">
      <alignment horizontal="left" vertical="center" wrapText="1"/>
      <protection hidden="1"/>
    </xf>
    <xf numFmtId="0" fontId="4" fillId="8" borderId="2" xfId="0" applyFont="1" applyFill="1" applyBorder="1" applyAlignment="1" applyProtection="1">
      <alignment horizontal="left" wrapText="1"/>
      <protection hidden="1"/>
    </xf>
    <xf numFmtId="0" fontId="4" fillId="5" borderId="3" xfId="0" applyFont="1" applyFill="1" applyBorder="1" applyAlignment="1" applyProtection="1">
      <alignment horizontal="center" vertical="center"/>
      <protection locked="0"/>
    </xf>
    <xf numFmtId="0" fontId="10" fillId="2" borderId="3" xfId="4" applyFont="1" applyFill="1" applyBorder="1" applyAlignment="1" applyProtection="1">
      <alignment horizontal="left" vertical="top"/>
      <protection locked="0"/>
    </xf>
    <xf numFmtId="0" fontId="4" fillId="2" borderId="3" xfId="0" applyFont="1" applyFill="1" applyBorder="1" applyAlignment="1" applyProtection="1">
      <alignment horizontal="left"/>
      <protection hidden="1"/>
    </xf>
    <xf numFmtId="9" fontId="4" fillId="2" borderId="8" xfId="0" applyNumberFormat="1" applyFont="1" applyFill="1" applyBorder="1" applyAlignment="1" applyProtection="1">
      <alignment horizontal="center"/>
      <protection hidden="1"/>
    </xf>
    <xf numFmtId="0" fontId="4" fillId="2" borderId="4" xfId="0" applyFont="1" applyFill="1" applyBorder="1" applyAlignment="1" applyProtection="1">
      <alignment horizontal="center"/>
      <protection hidden="1"/>
    </xf>
    <xf numFmtId="0" fontId="6" fillId="4" borderId="17" xfId="0" applyFont="1" applyFill="1" applyBorder="1" applyAlignment="1" applyProtection="1">
      <alignment horizontal="center"/>
      <protection hidden="1"/>
    </xf>
    <xf numFmtId="9" fontId="4" fillId="2" borderId="3" xfId="6" applyFont="1" applyFill="1" applyBorder="1" applyAlignment="1" applyProtection="1">
      <alignment horizontal="center"/>
      <protection locked="0"/>
    </xf>
    <xf numFmtId="0" fontId="6" fillId="4" borderId="2" xfId="0" applyFont="1" applyFill="1" applyBorder="1" applyAlignment="1" applyProtection="1">
      <alignment horizontal="center"/>
      <protection hidden="1"/>
    </xf>
    <xf numFmtId="0" fontId="4" fillId="2" borderId="8"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0" fontId="4" fillId="2" borderId="4" xfId="0" applyFont="1" applyFill="1" applyBorder="1" applyAlignment="1" applyProtection="1">
      <alignment horizontal="center"/>
      <protection locked="0"/>
    </xf>
    <xf numFmtId="0" fontId="10" fillId="8" borderId="19" xfId="0" applyFont="1" applyFill="1" applyBorder="1" applyAlignment="1" applyProtection="1">
      <alignment horizontal="right"/>
      <protection hidden="1"/>
    </xf>
    <xf numFmtId="0" fontId="6" fillId="4" borderId="6" xfId="0" applyFont="1" applyFill="1" applyBorder="1" applyAlignment="1" applyProtection="1">
      <alignment horizontal="center" vertical="center"/>
      <protection hidden="1"/>
    </xf>
    <xf numFmtId="0" fontId="6" fillId="4" borderId="4" xfId="0" applyFont="1" applyFill="1" applyBorder="1" applyAlignment="1" applyProtection="1">
      <alignment horizontal="center" vertical="center"/>
      <protection hidden="1"/>
    </xf>
    <xf numFmtId="0" fontId="4" fillId="10" borderId="2" xfId="0" applyFont="1" applyFill="1" applyBorder="1" applyAlignment="1" applyProtection="1">
      <alignment horizontal="left"/>
      <protection hidden="1"/>
    </xf>
    <xf numFmtId="0" fontId="10" fillId="8" borderId="2" xfId="4" applyFont="1" applyFill="1" applyAlignment="1" applyProtection="1">
      <alignment horizontal="right" vertical="center"/>
      <protection hidden="1"/>
    </xf>
    <xf numFmtId="0" fontId="10" fillId="8" borderId="2" xfId="4" applyFont="1" applyFill="1" applyAlignment="1" applyProtection="1">
      <alignment horizontal="right" vertical="center" wrapText="1"/>
      <protection hidden="1"/>
    </xf>
    <xf numFmtId="0" fontId="10" fillId="2" borderId="3" xfId="4" applyFont="1" applyFill="1" applyBorder="1" applyAlignment="1" applyProtection="1">
      <alignment horizontal="left" vertical="center"/>
      <protection hidden="1"/>
    </xf>
    <xf numFmtId="0" fontId="10" fillId="2" borderId="3" xfId="4" applyFont="1" applyFill="1" applyBorder="1" applyAlignment="1" applyProtection="1">
      <alignment horizontal="left" vertical="center"/>
      <protection locked="0"/>
    </xf>
    <xf numFmtId="0" fontId="4" fillId="11" borderId="2" xfId="0" applyFont="1" applyFill="1" applyBorder="1" applyAlignment="1" applyProtection="1">
      <alignment horizontal="left" wrapText="1"/>
      <protection hidden="1"/>
    </xf>
    <xf numFmtId="0" fontId="4" fillId="8" borderId="2" xfId="0" applyFont="1" applyFill="1" applyBorder="1" applyAlignment="1" applyProtection="1">
      <alignment horizontal="center" wrapText="1"/>
      <protection hidden="1"/>
    </xf>
    <xf numFmtId="0" fontId="11" fillId="0" borderId="0" xfId="0" applyFont="1" applyAlignment="1" applyProtection="1">
      <alignment horizontal="center"/>
      <protection hidden="1"/>
    </xf>
    <xf numFmtId="0" fontId="4" fillId="0" borderId="0" xfId="0" applyFont="1" applyProtection="1">
      <protection hidden="1"/>
    </xf>
    <xf numFmtId="0" fontId="6" fillId="4" borderId="3" xfId="0" applyFont="1" applyFill="1" applyBorder="1" applyAlignment="1" applyProtection="1">
      <alignment horizontal="left" vertical="center"/>
      <protection hidden="1"/>
    </xf>
    <xf numFmtId="0" fontId="4" fillId="0" borderId="3" xfId="0" applyFont="1" applyBorder="1" applyAlignment="1" applyProtection="1">
      <alignment horizontal="left" wrapText="1"/>
      <protection hidden="1"/>
    </xf>
    <xf numFmtId="0" fontId="4" fillId="0" borderId="6" xfId="0" applyFont="1" applyBorder="1" applyAlignment="1" applyProtection="1">
      <alignment horizontal="left" wrapText="1"/>
      <protection hidden="1"/>
    </xf>
    <xf numFmtId="0" fontId="4" fillId="0" borderId="4" xfId="0" applyFont="1" applyBorder="1" applyAlignment="1" applyProtection="1">
      <alignment horizontal="left" wrapText="1"/>
      <protection hidden="1"/>
    </xf>
    <xf numFmtId="0" fontId="6" fillId="13" borderId="8" xfId="0" applyFont="1" applyFill="1" applyBorder="1" applyAlignment="1" applyProtection="1">
      <alignment horizontal="center"/>
      <protection hidden="1"/>
    </xf>
    <xf numFmtId="0" fontId="6" fillId="13" borderId="6" xfId="0" applyFont="1" applyFill="1" applyBorder="1" applyAlignment="1" applyProtection="1">
      <alignment horizontal="center"/>
      <protection hidden="1"/>
    </xf>
    <xf numFmtId="0" fontId="6" fillId="13" borderId="4" xfId="0" applyFont="1" applyFill="1" applyBorder="1" applyAlignment="1" applyProtection="1">
      <alignment horizontal="center"/>
      <protection hidden="1"/>
    </xf>
    <xf numFmtId="0" fontId="4" fillId="8" borderId="0" xfId="0" applyFont="1" applyFill="1" applyAlignment="1" applyProtection="1">
      <alignment horizontal="left" vertical="center" wrapText="1"/>
      <protection hidden="1"/>
    </xf>
    <xf numFmtId="16" fontId="4" fillId="5" borderId="3" xfId="0" applyNumberFormat="1" applyFont="1" applyFill="1" applyBorder="1" applyAlignment="1" applyProtection="1">
      <alignment horizontal="left" vertical="center"/>
      <protection hidden="1"/>
    </xf>
    <xf numFmtId="0" fontId="4" fillId="0" borderId="0" xfId="0" applyFont="1" applyAlignment="1" applyProtection="1">
      <alignment horizontal="left"/>
      <protection hidden="1"/>
    </xf>
    <xf numFmtId="0" fontId="4" fillId="8" borderId="18" xfId="0" applyFont="1" applyFill="1" applyBorder="1" applyAlignment="1" applyProtection="1">
      <alignment horizontal="left" wrapText="1"/>
      <protection hidden="1"/>
    </xf>
    <xf numFmtId="0" fontId="4" fillId="8" borderId="18" xfId="0" applyFont="1" applyFill="1" applyBorder="1" applyAlignment="1" applyProtection="1">
      <alignment horizontal="left" vertical="center" wrapText="1"/>
      <protection hidden="1"/>
    </xf>
    <xf numFmtId="0" fontId="4" fillId="0" borderId="24" xfId="0" applyFont="1" applyBorder="1" applyAlignment="1" applyProtection="1">
      <alignment horizontal="center"/>
      <protection hidden="1"/>
    </xf>
    <xf numFmtId="0" fontId="4" fillId="0" borderId="23" xfId="0" applyFont="1" applyBorder="1" applyAlignment="1" applyProtection="1">
      <alignment horizontal="center"/>
      <protection hidden="1"/>
    </xf>
    <xf numFmtId="0" fontId="4" fillId="0" borderId="25" xfId="0" applyFont="1" applyBorder="1" applyAlignment="1" applyProtection="1">
      <alignment horizontal="center"/>
      <protection hidden="1"/>
    </xf>
    <xf numFmtId="0" fontId="4" fillId="0" borderId="21" xfId="0" applyFont="1" applyBorder="1" applyAlignment="1" applyProtection="1">
      <alignment horizontal="center"/>
      <protection hidden="1"/>
    </xf>
    <xf numFmtId="0" fontId="4" fillId="0" borderId="18" xfId="0" applyFont="1" applyBorder="1" applyAlignment="1" applyProtection="1">
      <alignment horizontal="center"/>
      <protection hidden="1"/>
    </xf>
    <xf numFmtId="0" fontId="4" fillId="0" borderId="22" xfId="0" applyFont="1" applyBorder="1" applyAlignment="1" applyProtection="1">
      <alignment horizontal="center"/>
      <protection hidden="1"/>
    </xf>
    <xf numFmtId="0" fontId="4" fillId="0" borderId="0" xfId="0" applyFont="1" applyAlignment="1" applyProtection="1">
      <alignment wrapText="1"/>
      <protection hidden="1"/>
    </xf>
    <xf numFmtId="0" fontId="10" fillId="8" borderId="19" xfId="4" applyFont="1" applyFill="1" applyBorder="1" applyAlignment="1" applyProtection="1">
      <alignment horizontal="right" vertical="center" wrapText="1"/>
      <protection hidden="1"/>
    </xf>
    <xf numFmtId="0" fontId="10" fillId="8" borderId="19" xfId="4" applyFont="1" applyFill="1" applyBorder="1" applyAlignment="1" applyProtection="1">
      <alignment horizontal="right" vertical="center"/>
      <protection hidden="1"/>
    </xf>
    <xf numFmtId="0" fontId="10" fillId="8" borderId="27" xfId="4" applyFont="1" applyFill="1" applyBorder="1" applyAlignment="1" applyProtection="1">
      <alignment horizontal="right" vertical="center" wrapText="1"/>
      <protection hidden="1"/>
    </xf>
    <xf numFmtId="0" fontId="29" fillId="0" borderId="5" xfId="0" applyFont="1" applyBorder="1" applyAlignment="1" applyProtection="1">
      <alignment horizontal="left"/>
      <protection hidden="1"/>
    </xf>
    <xf numFmtId="0" fontId="30" fillId="8" borderId="0" xfId="0" applyFont="1" applyFill="1" applyAlignment="1" applyProtection="1">
      <alignment horizontal="center" vertical="center"/>
      <protection hidden="1"/>
    </xf>
    <xf numFmtId="0" fontId="31" fillId="8" borderId="2" xfId="0" applyFont="1" applyFill="1" applyBorder="1" applyAlignment="1" applyProtection="1">
      <alignment horizontal="right"/>
      <protection hidden="1"/>
    </xf>
    <xf numFmtId="0" fontId="32" fillId="8" borderId="2" xfId="0" applyFont="1" applyFill="1" applyBorder="1" applyProtection="1">
      <protection hidden="1"/>
    </xf>
    <xf numFmtId="44" fontId="10" fillId="2" borderId="8" xfId="9" applyFont="1" applyFill="1" applyBorder="1" applyAlignment="1" applyProtection="1">
      <alignment horizontal="center" vertical="top"/>
      <protection locked="0"/>
    </xf>
    <xf numFmtId="44" fontId="10" fillId="2" borderId="6" xfId="9" applyFont="1" applyFill="1" applyBorder="1" applyAlignment="1" applyProtection="1">
      <alignment horizontal="center" vertical="top"/>
      <protection locked="0"/>
    </xf>
    <xf numFmtId="44" fontId="10" fillId="2" borderId="4" xfId="9" applyFont="1" applyFill="1" applyBorder="1" applyAlignment="1" applyProtection="1">
      <alignment horizontal="center" vertical="top"/>
      <protection locked="0"/>
    </xf>
    <xf numFmtId="0" fontId="4" fillId="0" borderId="8" xfId="0" applyFont="1" applyBorder="1" applyAlignment="1" applyProtection="1">
      <alignment horizontal="center"/>
      <protection hidden="1"/>
    </xf>
    <xf numFmtId="0" fontId="4" fillId="2" borderId="24" xfId="0" applyFont="1" applyFill="1" applyBorder="1" applyAlignment="1" applyProtection="1">
      <alignment horizontal="center" vertical="center" textRotation="90" wrapText="1"/>
      <protection hidden="1"/>
    </xf>
    <xf numFmtId="0" fontId="4" fillId="2" borderId="23" xfId="0" applyFont="1" applyFill="1" applyBorder="1" applyAlignment="1" applyProtection="1">
      <alignment horizontal="center" vertical="center" textRotation="90" wrapText="1"/>
      <protection hidden="1"/>
    </xf>
    <xf numFmtId="0" fontId="4" fillId="2" borderId="25" xfId="0" applyFont="1" applyFill="1" applyBorder="1" applyAlignment="1" applyProtection="1">
      <alignment horizontal="center" vertical="center" textRotation="90" wrapText="1"/>
      <protection hidden="1"/>
    </xf>
    <xf numFmtId="0" fontId="4" fillId="2" borderId="27"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4" fillId="2" borderId="19" xfId="0" applyFont="1" applyFill="1" applyBorder="1" applyAlignment="1" applyProtection="1">
      <alignment horizontal="center" vertical="center" textRotation="90" wrapText="1"/>
      <protection hidden="1"/>
    </xf>
    <xf numFmtId="0" fontId="4" fillId="2" borderId="21" xfId="0" applyFont="1" applyFill="1" applyBorder="1" applyAlignment="1" applyProtection="1">
      <alignment horizontal="center" vertical="center" textRotation="90" wrapText="1"/>
      <protection hidden="1"/>
    </xf>
    <xf numFmtId="0" fontId="4" fillId="2" borderId="18" xfId="0" applyFont="1" applyFill="1" applyBorder="1" applyAlignment="1" applyProtection="1">
      <alignment horizontal="center" vertical="center" textRotation="90" wrapText="1"/>
      <protection hidden="1"/>
    </xf>
    <xf numFmtId="0" fontId="4" fillId="2" borderId="22" xfId="0" applyFont="1" applyFill="1" applyBorder="1" applyAlignment="1" applyProtection="1">
      <alignment horizontal="center" vertical="center" textRotation="90" wrapText="1"/>
      <protection hidden="1"/>
    </xf>
  </cellXfs>
  <cellStyles count="10">
    <cellStyle name="Currency" xfId="9" builtinId="4"/>
    <cellStyle name="Normal" xfId="0" builtinId="0"/>
    <cellStyle name="Normal 2" xfId="5" xr:uid="{1EA4FD7D-248E-024A-8874-20097E66DB0A}"/>
    <cellStyle name="Normal 3" xfId="4" xr:uid="{553C799F-C8C4-6545-8B7D-BAD7C8FBC542}"/>
    <cellStyle name="Normal 4" xfId="7" xr:uid="{F8262956-CC3D-414A-A751-973C5CED8D83}"/>
    <cellStyle name="Normale 2" xfId="1" xr:uid="{6E533CD1-82F2-1046-B24F-2016E0DF9E67}"/>
    <cellStyle name="Normale 3" xfId="2" xr:uid="{083959AF-0A8C-A54B-AC57-A744AA52BFA7}"/>
    <cellStyle name="Normale 4" xfId="3" xr:uid="{58821E7F-CDD6-1D42-B89D-6B3E93480110}"/>
    <cellStyle name="Per cent" xfId="6" builtinId="5"/>
    <cellStyle name="Per cent 2" xfId="8" xr:uid="{EECBE877-D750-496C-B17F-BE37DF15679D}"/>
  </cellStyles>
  <dxfs count="21">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b/>
        <i val="0"/>
        <u val="none"/>
        <color theme="0"/>
      </font>
      <fill>
        <patternFill>
          <bgColor rgb="FFC00000"/>
        </patternFill>
      </fill>
    </dxf>
  </dxfs>
  <tableStyles count="0" defaultTableStyle="TableStyleMedium2" defaultPivotStyle="PivotStyleLight16"/>
  <colors>
    <mruColors>
      <color rgb="FF001C54"/>
      <color rgb="FFA6A6A6"/>
      <color rgb="FFB19639"/>
      <color rgb="FF3D60F7"/>
      <color rgb="FFC1CCDA"/>
      <color rgb="FFE1E5F9"/>
      <color rgb="FF4EC2CA"/>
      <color rgb="FFBCC6F7"/>
      <color rgb="FFA7B5F7"/>
      <color rgb="FFB195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0F4F-1B29-D645-A94F-42F4D32980A2}">
  <dimension ref="B1:K27"/>
  <sheetViews>
    <sheetView workbookViewId="0">
      <selection activeCell="K9" sqref="K9"/>
    </sheetView>
  </sheetViews>
  <sheetFormatPr baseColWidth="10" defaultColWidth="8.5" defaultRowHeight="15"/>
  <cols>
    <col min="1" max="1" width="2.5" style="6" customWidth="1"/>
    <col min="2" max="2" width="3.6640625" style="6" customWidth="1"/>
    <col min="3" max="6" width="21" style="6" customWidth="1"/>
    <col min="7" max="7" width="3.6640625" style="6" customWidth="1"/>
    <col min="8" max="10" width="8.5" style="6"/>
    <col min="11" max="11" width="33.5" style="6" customWidth="1"/>
    <col min="12" max="16384" width="8.5" style="6"/>
  </cols>
  <sheetData>
    <row r="1" spans="2:11" ht="16" thickBot="1"/>
    <row r="2" spans="2:11" ht="15" customHeight="1">
      <c r="B2" s="14"/>
      <c r="C2" s="15"/>
      <c r="D2" s="15"/>
      <c r="E2" s="15"/>
      <c r="F2" s="15"/>
      <c r="G2" s="16"/>
    </row>
    <row r="3" spans="2:11" ht="35" customHeight="1">
      <c r="B3" s="17"/>
      <c r="C3" s="6" t="e" vm="1">
        <v>#VALUE!</v>
      </c>
      <c r="G3" s="18"/>
    </row>
    <row r="4" spans="2:11" ht="15" customHeight="1">
      <c r="B4" s="17"/>
      <c r="G4" s="18"/>
    </row>
    <row r="5" spans="2:11" ht="21">
      <c r="B5" s="17"/>
      <c r="C5" s="118" t="s">
        <v>37</v>
      </c>
      <c r="D5" s="118"/>
      <c r="E5" s="118"/>
      <c r="F5" s="118"/>
      <c r="G5" s="18"/>
      <c r="K5" s="94"/>
    </row>
    <row r="6" spans="2:11" ht="21">
      <c r="B6" s="17"/>
      <c r="C6" s="19"/>
      <c r="D6" s="19"/>
      <c r="E6" s="19"/>
      <c r="F6" s="19"/>
      <c r="G6" s="18"/>
    </row>
    <row r="7" spans="2:11" ht="21">
      <c r="B7" s="17"/>
      <c r="C7" s="19" t="s">
        <v>47</v>
      </c>
      <c r="D7" s="20"/>
      <c r="E7" s="20"/>
      <c r="F7" s="21"/>
      <c r="G7" s="18"/>
    </row>
    <row r="8" spans="2:11" ht="21">
      <c r="B8" s="17"/>
      <c r="C8" s="19"/>
      <c r="D8" s="19"/>
      <c r="E8" s="19"/>
      <c r="F8" s="19"/>
      <c r="G8" s="18"/>
    </row>
    <row r="9" spans="2:11" ht="15" customHeight="1">
      <c r="B9" s="17"/>
      <c r="G9" s="18"/>
    </row>
    <row r="10" spans="2:11">
      <c r="B10" s="17"/>
      <c r="C10" s="117" t="s">
        <v>511</v>
      </c>
      <c r="D10" s="119"/>
      <c r="E10" s="119"/>
      <c r="F10" s="119"/>
      <c r="G10" s="18"/>
    </row>
    <row r="11" spans="2:11" ht="15" customHeight="1">
      <c r="B11" s="17"/>
      <c r="C11" s="117" t="s">
        <v>512</v>
      </c>
      <c r="D11" s="117"/>
      <c r="E11" s="117"/>
      <c r="F11" s="117"/>
      <c r="G11" s="18"/>
    </row>
    <row r="12" spans="2:11">
      <c r="B12" s="17"/>
      <c r="C12" s="117" t="s">
        <v>513</v>
      </c>
      <c r="D12" s="117"/>
      <c r="E12" s="117"/>
      <c r="F12" s="117"/>
      <c r="G12" s="18"/>
    </row>
    <row r="13" spans="2:11" s="7" customFormat="1" ht="15" customHeight="1">
      <c r="B13" s="23"/>
      <c r="G13" s="24"/>
    </row>
    <row r="14" spans="2:11">
      <c r="B14" s="17"/>
      <c r="C14" s="117" t="s">
        <v>514</v>
      </c>
      <c r="D14" s="117"/>
      <c r="E14" s="117"/>
      <c r="F14" s="117"/>
      <c r="G14" s="18"/>
    </row>
    <row r="15" spans="2:11">
      <c r="B15" s="17"/>
      <c r="C15" s="117" t="s">
        <v>607</v>
      </c>
      <c r="D15" s="117"/>
      <c r="E15" s="117"/>
      <c r="F15" s="117"/>
      <c r="G15" s="18"/>
    </row>
    <row r="16" spans="2:11">
      <c r="B16" s="17"/>
      <c r="C16" s="117" t="s">
        <v>606</v>
      </c>
      <c r="D16" s="117"/>
      <c r="E16" s="117"/>
      <c r="F16" s="117"/>
      <c r="G16" s="18"/>
    </row>
    <row r="17" spans="2:7">
      <c r="B17" s="17"/>
      <c r="C17" s="117" t="s">
        <v>515</v>
      </c>
      <c r="D17" s="117"/>
      <c r="E17" s="117"/>
      <c r="F17" s="22"/>
      <c r="G17" s="18"/>
    </row>
    <row r="18" spans="2:7">
      <c r="B18" s="17"/>
      <c r="C18" s="117" t="s">
        <v>516</v>
      </c>
      <c r="D18" s="117"/>
      <c r="E18" s="117"/>
      <c r="F18" s="117"/>
      <c r="G18" s="18"/>
    </row>
    <row r="19" spans="2:7" ht="7.5" customHeight="1">
      <c r="B19" s="17"/>
      <c r="C19" s="25"/>
      <c r="D19" s="25"/>
      <c r="E19" s="25"/>
      <c r="F19" s="25"/>
      <c r="G19" s="18"/>
    </row>
    <row r="20" spans="2:7" ht="38" customHeight="1">
      <c r="B20" s="17"/>
      <c r="C20" s="25" t="e" vm="2">
        <v>#VALUE!</v>
      </c>
      <c r="D20" s="25"/>
      <c r="E20" s="26" t="s">
        <v>48</v>
      </c>
      <c r="F20" s="30">
        <f ca="1">TODAY()</f>
        <v>46000</v>
      </c>
      <c r="G20" s="18"/>
    </row>
    <row r="21" spans="2:7" ht="16" thickBot="1">
      <c r="B21" s="27"/>
      <c r="C21" s="28"/>
      <c r="D21" s="28"/>
      <c r="E21" s="28"/>
      <c r="F21" s="28"/>
      <c r="G21" s="29"/>
    </row>
    <row r="22" spans="2:7" ht="15" customHeight="1"/>
    <row r="23" spans="2:7" ht="15" customHeight="1"/>
    <row r="24" spans="2:7" ht="15" customHeight="1"/>
    <row r="25" spans="2:7" ht="15" customHeight="1"/>
    <row r="26" spans="2:7" ht="15" customHeight="1"/>
    <row r="27" spans="2:7" ht="15" customHeight="1"/>
  </sheetData>
  <sheetProtection algorithmName="SHA-512" hashValue="E2MJ0JfOdPee6T7p9x4qz1FQMV3CS2atMxvtWk7p5zrH0EAKtGk8q/CsNjt+ipJ3Diuy2ua2b0xWk3g1pdkjBw==" saltValue="JzqFSVYo5xNxrJ2n8Q+Lhw==" spinCount="100000" sheet="1" objects="1" scenarios="1"/>
  <mergeCells count="9">
    <mergeCell ref="C17:E17"/>
    <mergeCell ref="C18:F18"/>
    <mergeCell ref="C12:F12"/>
    <mergeCell ref="C14:F14"/>
    <mergeCell ref="C5:F5"/>
    <mergeCell ref="C10:F10"/>
    <mergeCell ref="C11:F11"/>
    <mergeCell ref="C15:F15"/>
    <mergeCell ref="C16:F1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39F8E1-2AFB-410F-86EA-50BBB50C48E7}">
          <x14:formula1>
            <xm:f>Settings!$A$1:$A$4</xm:f>
          </x14:formula1>
          <xm:sqref>C16:F16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X337"/>
  <sheetViews>
    <sheetView showGridLines="0" tabSelected="1" zoomScale="110" zoomScaleNormal="110" workbookViewId="0">
      <selection activeCell="AO39" sqref="AO39"/>
    </sheetView>
  </sheetViews>
  <sheetFormatPr baseColWidth="10" defaultColWidth="14.5" defaultRowHeight="14" customHeight="1"/>
  <cols>
    <col min="1" max="1" width="2.5" style="1" customWidth="1"/>
    <col min="2" max="38" width="2.83203125" style="1" customWidth="1"/>
    <col min="39" max="39" width="3.6640625" style="1" customWidth="1"/>
    <col min="40" max="75" width="2.6640625" style="1" customWidth="1"/>
    <col min="76" max="76" width="2.6640625" style="95" customWidth="1"/>
    <col min="77" max="86" width="2.6640625" style="1" customWidth="1"/>
    <col min="87" max="137" width="3.1640625" style="1" customWidth="1"/>
    <col min="138" max="154" width="2.83203125" style="1" customWidth="1"/>
    <col min="155" max="16384" width="14.5" style="1"/>
  </cols>
  <sheetData>
    <row r="2" spans="2:76" ht="40" customHeight="1">
      <c r="B2" s="210" t="e" vm="3">
        <v>#VALUE!</v>
      </c>
      <c r="C2" s="210"/>
      <c r="D2" s="210"/>
      <c r="E2" s="210"/>
      <c r="F2" s="210"/>
    </row>
    <row r="3" spans="2:76" ht="5" customHeight="1"/>
    <row r="4" spans="2:76" ht="15.75" customHeight="1">
      <c r="F4" s="53"/>
      <c r="G4" s="2"/>
      <c r="M4" s="163" t="s">
        <v>37</v>
      </c>
      <c r="N4" s="163"/>
      <c r="O4" s="163"/>
      <c r="P4" s="163"/>
      <c r="Q4" s="163"/>
      <c r="R4" s="163"/>
      <c r="S4" s="163"/>
      <c r="T4" s="163"/>
      <c r="U4" s="163"/>
      <c r="V4" s="163"/>
      <c r="W4" s="163"/>
      <c r="X4" s="163"/>
      <c r="Y4" s="163"/>
      <c r="Z4" s="163"/>
      <c r="AA4" s="163"/>
    </row>
    <row r="5" spans="2:76" ht="5" customHeight="1">
      <c r="C5" s="199"/>
      <c r="D5" s="200"/>
      <c r="E5" s="200"/>
      <c r="F5" s="200"/>
      <c r="G5" s="200"/>
    </row>
    <row r="6" spans="2:76" ht="14" customHeight="1">
      <c r="B6" s="54" t="s">
        <v>0</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BV6" s="108"/>
      <c r="BX6" s="1"/>
    </row>
    <row r="7" spans="2:76" ht="5" customHeight="1">
      <c r="BV7" s="108"/>
      <c r="BX7" s="1"/>
    </row>
    <row r="8" spans="2:76" ht="13">
      <c r="B8" s="72"/>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BV8" s="108"/>
      <c r="BX8" s="1"/>
    </row>
    <row r="9" spans="2:76" ht="12" customHeight="1">
      <c r="B9" s="72"/>
      <c r="C9" s="194" t="s">
        <v>216</v>
      </c>
      <c r="D9" s="194"/>
      <c r="E9" s="194"/>
      <c r="F9" s="194"/>
      <c r="G9" s="194"/>
      <c r="H9" s="194"/>
      <c r="I9" s="179"/>
      <c r="J9" s="179"/>
      <c r="K9" s="179"/>
      <c r="L9" s="179"/>
      <c r="M9" s="179"/>
      <c r="N9" s="179"/>
      <c r="O9" s="193" t="s">
        <v>1</v>
      </c>
      <c r="P9" s="193"/>
      <c r="Q9" s="193"/>
      <c r="R9" s="193"/>
      <c r="S9" s="193"/>
      <c r="T9" s="193"/>
      <c r="U9" s="179"/>
      <c r="V9" s="179"/>
      <c r="W9" s="179"/>
      <c r="X9" s="179"/>
      <c r="Y9" s="179"/>
      <c r="Z9" s="179"/>
      <c r="AA9" s="194" t="s">
        <v>217</v>
      </c>
      <c r="AB9" s="194"/>
      <c r="AC9" s="194"/>
      <c r="AD9" s="194"/>
      <c r="AE9" s="194"/>
      <c r="AF9" s="194"/>
      <c r="AG9" s="179"/>
      <c r="AH9" s="179"/>
      <c r="AI9" s="179"/>
      <c r="AJ9" s="179"/>
      <c r="AK9" s="179"/>
      <c r="AL9" s="179"/>
      <c r="AM9" s="72"/>
      <c r="BV9" s="108"/>
      <c r="BX9" s="1"/>
    </row>
    <row r="10" spans="2:76" ht="12" customHeight="1">
      <c r="B10" s="72"/>
      <c r="C10" s="194"/>
      <c r="D10" s="194"/>
      <c r="E10" s="194"/>
      <c r="F10" s="194"/>
      <c r="G10" s="194"/>
      <c r="H10" s="194"/>
      <c r="I10" s="179"/>
      <c r="J10" s="179"/>
      <c r="K10" s="179"/>
      <c r="L10" s="179"/>
      <c r="M10" s="179"/>
      <c r="N10" s="179"/>
      <c r="O10" s="193"/>
      <c r="P10" s="193"/>
      <c r="Q10" s="193"/>
      <c r="R10" s="193"/>
      <c r="S10" s="193"/>
      <c r="T10" s="193"/>
      <c r="U10" s="179"/>
      <c r="V10" s="179"/>
      <c r="W10" s="179"/>
      <c r="X10" s="179"/>
      <c r="Y10" s="179"/>
      <c r="Z10" s="179"/>
      <c r="AA10" s="194"/>
      <c r="AB10" s="194"/>
      <c r="AC10" s="194"/>
      <c r="AD10" s="194"/>
      <c r="AE10" s="194"/>
      <c r="AF10" s="194"/>
      <c r="AG10" s="179"/>
      <c r="AH10" s="179"/>
      <c r="AI10" s="179"/>
      <c r="AJ10" s="179"/>
      <c r="AK10" s="179"/>
      <c r="AL10" s="179"/>
      <c r="AM10" s="72"/>
      <c r="BV10" s="108"/>
      <c r="BX10" s="1"/>
    </row>
    <row r="11" spans="2:76" ht="5" customHeight="1">
      <c r="B11" s="72"/>
      <c r="C11" s="73"/>
      <c r="D11" s="73"/>
      <c r="E11" s="73"/>
      <c r="F11" s="73"/>
      <c r="G11" s="73"/>
      <c r="H11" s="73"/>
      <c r="I11" s="72"/>
      <c r="J11" s="72"/>
      <c r="K11" s="72"/>
      <c r="L11" s="72"/>
      <c r="M11" s="72"/>
      <c r="N11" s="72"/>
      <c r="O11" s="73"/>
      <c r="P11" s="73"/>
      <c r="Q11" s="73"/>
      <c r="R11" s="73"/>
      <c r="S11" s="73"/>
      <c r="T11" s="73"/>
      <c r="U11" s="72"/>
      <c r="V11" s="72"/>
      <c r="W11" s="72"/>
      <c r="X11" s="72"/>
      <c r="Y11" s="72"/>
      <c r="Z11" s="72"/>
      <c r="AA11" s="73"/>
      <c r="AB11" s="73"/>
      <c r="AC11" s="73"/>
      <c r="AD11" s="73"/>
      <c r="AE11" s="73"/>
      <c r="AF11" s="73"/>
      <c r="AG11" s="72"/>
      <c r="AH11" s="72"/>
      <c r="AI11" s="72"/>
      <c r="AJ11" s="72"/>
      <c r="AK11" s="72"/>
      <c r="AL11" s="72"/>
      <c r="AM11" s="72"/>
      <c r="BV11" s="108"/>
      <c r="BX11" s="1"/>
    </row>
    <row r="12" spans="2:76" ht="12" customHeight="1">
      <c r="B12" s="72"/>
      <c r="C12" s="193" t="s">
        <v>49</v>
      </c>
      <c r="D12" s="193"/>
      <c r="E12" s="193"/>
      <c r="F12" s="193"/>
      <c r="G12" s="193"/>
      <c r="H12" s="193"/>
      <c r="I12" s="179"/>
      <c r="J12" s="179"/>
      <c r="K12" s="179"/>
      <c r="L12" s="179"/>
      <c r="M12" s="179"/>
      <c r="N12" s="179"/>
      <c r="O12" s="194" t="s">
        <v>2</v>
      </c>
      <c r="P12" s="194"/>
      <c r="Q12" s="194"/>
      <c r="R12" s="194"/>
      <c r="S12" s="194"/>
      <c r="T12" s="194"/>
      <c r="U12" s="179"/>
      <c r="V12" s="179"/>
      <c r="W12" s="179"/>
      <c r="X12" s="179"/>
      <c r="Y12" s="179"/>
      <c r="Z12" s="179"/>
      <c r="AA12" s="193" t="s">
        <v>663</v>
      </c>
      <c r="AB12" s="193"/>
      <c r="AC12" s="193"/>
      <c r="AD12" s="193"/>
      <c r="AE12" s="193"/>
      <c r="AF12" s="193"/>
      <c r="AG12" s="179"/>
      <c r="AH12" s="179"/>
      <c r="AI12" s="179"/>
      <c r="AJ12" s="179"/>
      <c r="AK12" s="179"/>
      <c r="AL12" s="179"/>
      <c r="AM12" s="72"/>
      <c r="BV12" s="108"/>
      <c r="BX12" s="1"/>
    </row>
    <row r="13" spans="2:76" ht="12" customHeight="1">
      <c r="B13" s="72"/>
      <c r="C13" s="193"/>
      <c r="D13" s="193"/>
      <c r="E13" s="193"/>
      <c r="F13" s="193"/>
      <c r="G13" s="193"/>
      <c r="H13" s="193"/>
      <c r="I13" s="179"/>
      <c r="J13" s="179"/>
      <c r="K13" s="179"/>
      <c r="L13" s="179"/>
      <c r="M13" s="179"/>
      <c r="N13" s="179"/>
      <c r="O13" s="194"/>
      <c r="P13" s="194"/>
      <c r="Q13" s="194"/>
      <c r="R13" s="194"/>
      <c r="S13" s="194"/>
      <c r="T13" s="194"/>
      <c r="U13" s="179"/>
      <c r="V13" s="179"/>
      <c r="W13" s="179"/>
      <c r="X13" s="179"/>
      <c r="Y13" s="179"/>
      <c r="Z13" s="179"/>
      <c r="AA13" s="193"/>
      <c r="AB13" s="193"/>
      <c r="AC13" s="193"/>
      <c r="AD13" s="193"/>
      <c r="AE13" s="193"/>
      <c r="AF13" s="193"/>
      <c r="AG13" s="179"/>
      <c r="AH13" s="179"/>
      <c r="AI13" s="179"/>
      <c r="AJ13" s="179"/>
      <c r="AK13" s="179"/>
      <c r="AL13" s="179"/>
      <c r="AM13" s="72"/>
      <c r="BV13" s="108"/>
      <c r="BX13" s="1"/>
    </row>
    <row r="14" spans="2:76" ht="12" customHeight="1">
      <c r="B14" s="72"/>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BV14" s="108"/>
      <c r="BX14" s="1"/>
    </row>
    <row r="15" spans="2:76" ht="14" customHeight="1">
      <c r="BV15" s="108"/>
      <c r="BX15" s="1"/>
    </row>
    <row r="16" spans="2:76" ht="14" customHeight="1">
      <c r="B16" s="54" t="s">
        <v>664</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BV16" s="108"/>
      <c r="BX16" s="1"/>
    </row>
    <row r="17" spans="2:76" ht="5" customHeight="1">
      <c r="BV17" s="108"/>
      <c r="BX17" s="1"/>
    </row>
    <row r="18" spans="2:76" ht="12" customHeight="1">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BV18" s="108"/>
      <c r="BX18" s="1"/>
    </row>
    <row r="19" spans="2:76" ht="12" customHeight="1">
      <c r="B19" s="72"/>
      <c r="C19" s="194" t="s">
        <v>494</v>
      </c>
      <c r="D19" s="194"/>
      <c r="E19" s="194"/>
      <c r="F19" s="194"/>
      <c r="G19" s="194"/>
      <c r="H19" s="194"/>
      <c r="I19" s="196"/>
      <c r="J19" s="196"/>
      <c r="K19" s="196"/>
      <c r="L19" s="196"/>
      <c r="M19" s="196"/>
      <c r="N19" s="196"/>
      <c r="O19" s="194" t="s">
        <v>665</v>
      </c>
      <c r="P19" s="194"/>
      <c r="Q19" s="194"/>
      <c r="R19" s="194"/>
      <c r="S19" s="194"/>
      <c r="T19" s="194"/>
      <c r="U19" s="179"/>
      <c r="V19" s="179"/>
      <c r="W19" s="179"/>
      <c r="X19" s="179"/>
      <c r="Y19" s="179"/>
      <c r="Z19" s="179"/>
      <c r="AA19" s="194" t="s">
        <v>223</v>
      </c>
      <c r="AB19" s="194"/>
      <c r="AC19" s="194"/>
      <c r="AD19" s="194"/>
      <c r="AE19" s="194"/>
      <c r="AF19" s="194"/>
      <c r="AG19" s="179"/>
      <c r="AH19" s="179"/>
      <c r="AI19" s="179"/>
      <c r="AJ19" s="179"/>
      <c r="AK19" s="179"/>
      <c r="AL19" s="179"/>
      <c r="AM19" s="72"/>
      <c r="BV19" s="108"/>
      <c r="BX19" s="1"/>
    </row>
    <row r="20" spans="2:76" ht="12" customHeight="1">
      <c r="B20" s="72"/>
      <c r="C20" s="194"/>
      <c r="D20" s="194"/>
      <c r="E20" s="194"/>
      <c r="F20" s="194"/>
      <c r="G20" s="194"/>
      <c r="H20" s="194"/>
      <c r="I20" s="196"/>
      <c r="J20" s="196"/>
      <c r="K20" s="196"/>
      <c r="L20" s="196"/>
      <c r="M20" s="196"/>
      <c r="N20" s="196"/>
      <c r="O20" s="194"/>
      <c r="P20" s="194"/>
      <c r="Q20" s="194"/>
      <c r="R20" s="194"/>
      <c r="S20" s="194"/>
      <c r="T20" s="194"/>
      <c r="U20" s="179"/>
      <c r="V20" s="179"/>
      <c r="W20" s="179"/>
      <c r="X20" s="179"/>
      <c r="Y20" s="179"/>
      <c r="Z20" s="179"/>
      <c r="AA20" s="194"/>
      <c r="AB20" s="194"/>
      <c r="AC20" s="194"/>
      <c r="AD20" s="194"/>
      <c r="AE20" s="194"/>
      <c r="AF20" s="194"/>
      <c r="AG20" s="179"/>
      <c r="AH20" s="179"/>
      <c r="AI20" s="179"/>
      <c r="AJ20" s="179"/>
      <c r="AK20" s="179"/>
      <c r="AL20" s="179"/>
      <c r="AM20" s="72"/>
      <c r="BV20" s="108"/>
      <c r="BX20" s="1"/>
    </row>
    <row r="21" spans="2:76" ht="5" customHeight="1">
      <c r="B21" s="72"/>
      <c r="C21" s="73"/>
      <c r="D21" s="73"/>
      <c r="E21" s="73"/>
      <c r="F21" s="73"/>
      <c r="G21" s="73"/>
      <c r="H21" s="73"/>
      <c r="I21" s="72"/>
      <c r="J21" s="72"/>
      <c r="K21" s="72"/>
      <c r="L21" s="72"/>
      <c r="M21" s="72"/>
      <c r="N21" s="72"/>
      <c r="O21" s="73"/>
      <c r="P21" s="73"/>
      <c r="Q21" s="73"/>
      <c r="R21" s="73"/>
      <c r="S21" s="73"/>
      <c r="T21" s="73"/>
      <c r="U21" s="72"/>
      <c r="V21" s="72"/>
      <c r="W21" s="72"/>
      <c r="X21" s="72"/>
      <c r="Y21" s="72"/>
      <c r="Z21" s="72"/>
      <c r="AA21" s="73"/>
      <c r="AB21" s="73"/>
      <c r="AC21" s="73"/>
      <c r="AD21" s="73"/>
      <c r="AE21" s="73"/>
      <c r="AF21" s="73"/>
      <c r="AG21" s="72"/>
      <c r="AH21" s="72"/>
      <c r="AI21" s="72"/>
      <c r="AJ21" s="72"/>
      <c r="AK21" s="72"/>
      <c r="AL21" s="72"/>
      <c r="AM21" s="72"/>
      <c r="BV21" s="108"/>
      <c r="BX21" s="1"/>
    </row>
    <row r="22" spans="2:76" ht="12" customHeight="1">
      <c r="B22" s="72"/>
      <c r="C22" s="193" t="s">
        <v>274</v>
      </c>
      <c r="D22" s="193"/>
      <c r="E22" s="193"/>
      <c r="F22" s="193"/>
      <c r="G22" s="193"/>
      <c r="H22" s="193"/>
      <c r="I22" s="179"/>
      <c r="J22" s="179"/>
      <c r="K22" s="179"/>
      <c r="L22" s="179"/>
      <c r="M22" s="179"/>
      <c r="N22" s="179"/>
      <c r="O22" s="194" t="s">
        <v>275</v>
      </c>
      <c r="P22" s="194"/>
      <c r="Q22" s="194"/>
      <c r="R22" s="194"/>
      <c r="S22" s="194"/>
      <c r="T22" s="194"/>
      <c r="U22" s="195" t="s">
        <v>53</v>
      </c>
      <c r="V22" s="195"/>
      <c r="W22" s="195"/>
      <c r="X22" s="195"/>
      <c r="Y22" s="195"/>
      <c r="Z22" s="195"/>
      <c r="AA22" s="194" t="s">
        <v>666</v>
      </c>
      <c r="AB22" s="194"/>
      <c r="AC22" s="194"/>
      <c r="AD22" s="194"/>
      <c r="AE22" s="194"/>
      <c r="AF22" s="194"/>
      <c r="AG22" s="196"/>
      <c r="AH22" s="196"/>
      <c r="AI22" s="196"/>
      <c r="AJ22" s="196"/>
      <c r="AK22" s="196"/>
      <c r="AL22" s="196"/>
      <c r="AM22" s="72"/>
      <c r="BV22" s="108"/>
      <c r="BX22" s="1"/>
    </row>
    <row r="23" spans="2:76" ht="12" customHeight="1">
      <c r="B23" s="72"/>
      <c r="C23" s="193"/>
      <c r="D23" s="193"/>
      <c r="E23" s="193"/>
      <c r="F23" s="193"/>
      <c r="G23" s="193"/>
      <c r="H23" s="193"/>
      <c r="I23" s="179"/>
      <c r="J23" s="179"/>
      <c r="K23" s="179"/>
      <c r="L23" s="179"/>
      <c r="M23" s="179"/>
      <c r="N23" s="179"/>
      <c r="O23" s="194"/>
      <c r="P23" s="194"/>
      <c r="Q23" s="194"/>
      <c r="R23" s="194"/>
      <c r="S23" s="194"/>
      <c r="T23" s="194"/>
      <c r="U23" s="195"/>
      <c r="V23" s="195"/>
      <c r="W23" s="195"/>
      <c r="X23" s="195"/>
      <c r="Y23" s="195"/>
      <c r="Z23" s="195"/>
      <c r="AA23" s="194"/>
      <c r="AB23" s="194"/>
      <c r="AC23" s="194"/>
      <c r="AD23" s="194"/>
      <c r="AE23" s="194"/>
      <c r="AF23" s="194"/>
      <c r="AG23" s="196"/>
      <c r="AH23" s="196"/>
      <c r="AI23" s="196"/>
      <c r="AJ23" s="196"/>
      <c r="AK23" s="196"/>
      <c r="AL23" s="196"/>
      <c r="AM23" s="72"/>
      <c r="BV23" s="108"/>
      <c r="BX23" s="1"/>
    </row>
    <row r="24" spans="2:76" ht="13">
      <c r="B24" s="72"/>
      <c r="C24" s="74"/>
      <c r="D24" s="74"/>
      <c r="E24" s="74"/>
      <c r="F24" s="74"/>
      <c r="G24" s="74"/>
      <c r="H24" s="74"/>
      <c r="I24" s="72"/>
      <c r="J24" s="72"/>
      <c r="K24" s="72"/>
      <c r="L24" s="72"/>
      <c r="M24" s="72"/>
      <c r="N24" s="72"/>
      <c r="O24" s="74"/>
      <c r="P24" s="74"/>
      <c r="Q24" s="74"/>
      <c r="R24" s="74"/>
      <c r="S24" s="74"/>
      <c r="T24" s="74"/>
      <c r="U24" s="72"/>
      <c r="V24" s="72"/>
      <c r="W24" s="72"/>
      <c r="X24" s="72"/>
      <c r="Y24" s="72"/>
      <c r="Z24" s="72"/>
      <c r="AA24" s="74"/>
      <c r="AB24" s="74"/>
      <c r="AC24" s="74"/>
      <c r="AD24" s="74"/>
      <c r="AE24" s="74"/>
      <c r="AF24" s="74"/>
      <c r="AG24" s="72"/>
      <c r="AH24" s="72"/>
      <c r="AI24" s="72"/>
      <c r="AJ24" s="72"/>
      <c r="AK24" s="72"/>
      <c r="AL24" s="72"/>
      <c r="AM24" s="72"/>
      <c r="BV24" s="108"/>
      <c r="BX24" s="1"/>
    </row>
    <row r="25" spans="2:76" ht="14" customHeight="1">
      <c r="BV25" s="108"/>
      <c r="BX25" s="1"/>
    </row>
    <row r="26" spans="2:76" ht="14" customHeight="1">
      <c r="B26" s="54" t="s">
        <v>219</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BV26" s="108"/>
      <c r="BX26" s="1"/>
    </row>
    <row r="27" spans="2:76" ht="5" customHeight="1">
      <c r="BV27" s="108"/>
      <c r="BX27" s="1"/>
    </row>
    <row r="28" spans="2:76" ht="13">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BV28" s="108"/>
      <c r="BX28" s="1"/>
    </row>
    <row r="29" spans="2:76" ht="14" customHeight="1">
      <c r="B29" s="72"/>
      <c r="C29" s="194" t="s">
        <v>667</v>
      </c>
      <c r="D29" s="194"/>
      <c r="E29" s="194"/>
      <c r="F29" s="194"/>
      <c r="G29" s="194"/>
      <c r="H29" s="194"/>
      <c r="I29" s="147"/>
      <c r="J29" s="147"/>
      <c r="K29" s="147"/>
      <c r="L29" s="147"/>
      <c r="M29" s="147"/>
      <c r="N29" s="147"/>
      <c r="O29" s="194" t="s">
        <v>224</v>
      </c>
      <c r="P29" s="194"/>
      <c r="Q29" s="194"/>
      <c r="R29" s="194"/>
      <c r="S29" s="194"/>
      <c r="T29" s="194"/>
      <c r="U29" s="147"/>
      <c r="V29" s="147"/>
      <c r="W29" s="147"/>
      <c r="X29" s="147"/>
      <c r="Y29" s="147"/>
      <c r="Z29" s="147"/>
      <c r="AA29" s="194" t="s">
        <v>225</v>
      </c>
      <c r="AB29" s="194"/>
      <c r="AC29" s="194"/>
      <c r="AD29" s="194"/>
      <c r="AE29" s="194"/>
      <c r="AF29" s="194"/>
      <c r="AG29" s="147"/>
      <c r="AH29" s="147"/>
      <c r="AI29" s="147"/>
      <c r="AJ29" s="147"/>
      <c r="AK29" s="147"/>
      <c r="AL29" s="147"/>
      <c r="AM29" s="72"/>
      <c r="BV29" s="108"/>
      <c r="BX29" s="1"/>
    </row>
    <row r="30" spans="2:76" ht="5" customHeight="1">
      <c r="B30" s="72"/>
      <c r="C30" s="73"/>
      <c r="D30" s="73"/>
      <c r="E30" s="73"/>
      <c r="F30" s="73"/>
      <c r="G30" s="73"/>
      <c r="H30" s="73"/>
      <c r="I30" s="72"/>
      <c r="J30" s="72"/>
      <c r="K30" s="72"/>
      <c r="L30" s="72"/>
      <c r="M30" s="72"/>
      <c r="N30" s="72"/>
      <c r="O30" s="74"/>
      <c r="P30" s="74"/>
      <c r="Q30" s="74"/>
      <c r="R30" s="74"/>
      <c r="S30" s="74"/>
      <c r="T30" s="74"/>
      <c r="U30" s="72"/>
      <c r="V30" s="72"/>
      <c r="W30" s="72"/>
      <c r="X30" s="72"/>
      <c r="Y30" s="72"/>
      <c r="Z30" s="72"/>
      <c r="AA30" s="74"/>
      <c r="AB30" s="74"/>
      <c r="AC30" s="74"/>
      <c r="AD30" s="74"/>
      <c r="AE30" s="74"/>
      <c r="AF30" s="74"/>
      <c r="AG30" s="72"/>
      <c r="AH30" s="72"/>
      <c r="AI30" s="72"/>
      <c r="AJ30" s="72"/>
      <c r="AK30" s="72"/>
      <c r="AL30" s="72"/>
      <c r="AM30" s="72"/>
      <c r="BV30" s="108"/>
      <c r="BX30" s="1"/>
    </row>
    <row r="31" spans="2:76" ht="14" customHeight="1">
      <c r="B31" s="72"/>
      <c r="C31" s="194" t="s">
        <v>226</v>
      </c>
      <c r="D31" s="194"/>
      <c r="E31" s="194"/>
      <c r="F31" s="194"/>
      <c r="G31" s="194"/>
      <c r="H31" s="194"/>
      <c r="I31" s="147"/>
      <c r="J31" s="147"/>
      <c r="K31" s="147"/>
      <c r="L31" s="147"/>
      <c r="M31" s="147"/>
      <c r="N31" s="147"/>
      <c r="O31" s="193" t="s">
        <v>227</v>
      </c>
      <c r="P31" s="193"/>
      <c r="Q31" s="193"/>
      <c r="R31" s="193"/>
      <c r="S31" s="193"/>
      <c r="T31" s="193"/>
      <c r="U31" s="158"/>
      <c r="V31" s="159"/>
      <c r="W31" s="159"/>
      <c r="X31" s="159"/>
      <c r="Y31" s="159"/>
      <c r="Z31" s="160"/>
      <c r="AA31" s="75"/>
      <c r="AB31" s="75"/>
      <c r="AC31" s="75"/>
      <c r="AD31" s="75"/>
      <c r="AE31" s="75"/>
      <c r="AF31" s="75"/>
      <c r="AG31" s="75"/>
      <c r="AH31" s="75"/>
      <c r="AI31" s="75"/>
      <c r="AJ31" s="75"/>
      <c r="AK31" s="75"/>
      <c r="AL31" s="75"/>
      <c r="AM31" s="75"/>
      <c r="BV31" s="108"/>
      <c r="BX31" s="1"/>
    </row>
    <row r="32" spans="2:76" ht="13">
      <c r="B32" s="72"/>
      <c r="C32" s="74"/>
      <c r="D32" s="74"/>
      <c r="E32" s="74"/>
      <c r="F32" s="74"/>
      <c r="G32" s="74"/>
      <c r="H32" s="74"/>
      <c r="I32" s="72"/>
      <c r="J32" s="72"/>
      <c r="K32" s="72"/>
      <c r="L32" s="72"/>
      <c r="M32" s="72"/>
      <c r="N32" s="72"/>
      <c r="O32" s="74"/>
      <c r="P32" s="74"/>
      <c r="Q32" s="74"/>
      <c r="R32" s="74"/>
      <c r="S32" s="74"/>
      <c r="T32" s="74"/>
      <c r="U32" s="72"/>
      <c r="V32" s="72"/>
      <c r="W32" s="72"/>
      <c r="X32" s="72"/>
      <c r="Y32" s="72"/>
      <c r="Z32" s="72"/>
      <c r="AA32" s="74"/>
      <c r="AB32" s="74"/>
      <c r="AC32" s="74"/>
      <c r="AD32" s="74"/>
      <c r="AE32" s="74"/>
      <c r="AF32" s="74"/>
      <c r="AG32" s="72"/>
      <c r="AH32" s="72"/>
      <c r="AI32" s="72"/>
      <c r="AJ32" s="72"/>
      <c r="AK32" s="72"/>
      <c r="AL32" s="72"/>
      <c r="AM32" s="72"/>
      <c r="BV32" s="108"/>
      <c r="BX32" s="1"/>
    </row>
    <row r="33" spans="2:76" ht="14" customHeight="1">
      <c r="BV33" s="108"/>
      <c r="BX33" s="1"/>
    </row>
    <row r="34" spans="2:76" ht="14" customHeight="1">
      <c r="B34" s="54" t="s">
        <v>3</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BV34" s="108"/>
      <c r="BX34" s="1"/>
    </row>
    <row r="35" spans="2:76" ht="5" customHeight="1">
      <c r="BV35" s="108"/>
      <c r="BX35" s="1"/>
    </row>
    <row r="36" spans="2:76" ht="13">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BV36" s="108"/>
      <c r="BX36" s="1"/>
    </row>
    <row r="37" spans="2:76" ht="14" customHeight="1">
      <c r="B37" s="32"/>
      <c r="C37" s="35"/>
      <c r="D37" s="35"/>
      <c r="E37" s="161"/>
      <c r="F37" s="161"/>
      <c r="G37" s="36"/>
      <c r="H37" s="32"/>
      <c r="I37" s="153" t="s">
        <v>222</v>
      </c>
      <c r="J37" s="153"/>
      <c r="K37" s="153"/>
      <c r="L37" s="153"/>
      <c r="M37" s="153"/>
      <c r="N37" s="153"/>
      <c r="O37" s="153" t="s">
        <v>668</v>
      </c>
      <c r="P37" s="153"/>
      <c r="Q37" s="153"/>
      <c r="R37" s="153"/>
      <c r="S37" s="153"/>
      <c r="T37" s="153"/>
      <c r="U37" s="153" t="s">
        <v>669</v>
      </c>
      <c r="V37" s="153"/>
      <c r="W37" s="153"/>
      <c r="X37" s="153"/>
      <c r="Y37" s="153"/>
      <c r="Z37" s="153"/>
      <c r="AA37" s="153" t="s">
        <v>644</v>
      </c>
      <c r="AB37" s="153"/>
      <c r="AC37" s="153"/>
      <c r="AD37" s="153"/>
      <c r="AE37" s="153"/>
      <c r="AF37" s="153"/>
      <c r="AG37" s="153"/>
      <c r="AH37" s="153"/>
      <c r="AI37" s="153"/>
      <c r="AJ37" s="153"/>
      <c r="AK37" s="153"/>
      <c r="AL37" s="153"/>
      <c r="AM37" s="32"/>
      <c r="BV37" s="108"/>
      <c r="BX37" s="1"/>
    </row>
    <row r="38" spans="2:76" ht="14" customHeight="1">
      <c r="B38" s="34"/>
      <c r="C38" s="146" t="s">
        <v>220</v>
      </c>
      <c r="D38" s="146"/>
      <c r="E38" s="146"/>
      <c r="F38" s="146"/>
      <c r="G38" s="146"/>
      <c r="H38" s="146"/>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32"/>
      <c r="BV38" s="108"/>
      <c r="BX38" s="1"/>
    </row>
    <row r="39" spans="2:76" ht="14" customHeight="1">
      <c r="B39" s="34"/>
      <c r="C39" s="146" t="s">
        <v>221</v>
      </c>
      <c r="D39" s="146"/>
      <c r="E39" s="146"/>
      <c r="F39" s="146"/>
      <c r="G39" s="146"/>
      <c r="H39" s="146"/>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32"/>
      <c r="BV39" s="108"/>
      <c r="BX39" s="1"/>
    </row>
    <row r="40" spans="2:76" ht="14" customHeight="1">
      <c r="B40" s="34"/>
      <c r="C40" s="146" t="s">
        <v>670</v>
      </c>
      <c r="D40" s="146"/>
      <c r="E40" s="146"/>
      <c r="F40" s="146"/>
      <c r="G40" s="146"/>
      <c r="H40" s="146"/>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32"/>
      <c r="BV40" s="108"/>
      <c r="BX40" s="1"/>
    </row>
    <row r="41" spans="2:76" ht="14" customHeight="1">
      <c r="B41" s="33"/>
      <c r="C41" s="146" t="s">
        <v>228</v>
      </c>
      <c r="D41" s="146"/>
      <c r="E41" s="146"/>
      <c r="F41" s="146"/>
      <c r="G41" s="146"/>
      <c r="H41" s="146"/>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32"/>
      <c r="BV41" s="108"/>
      <c r="BX41" s="1"/>
    </row>
    <row r="42" spans="2:76" ht="14" customHeight="1">
      <c r="B42" s="33"/>
      <c r="C42" s="146" t="s">
        <v>229</v>
      </c>
      <c r="D42" s="146"/>
      <c r="E42" s="146"/>
      <c r="F42" s="146"/>
      <c r="G42" s="146"/>
      <c r="H42" s="146"/>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32"/>
      <c r="BV42" s="108"/>
      <c r="BX42" s="1"/>
    </row>
    <row r="43" spans="2:76" ht="14" customHeight="1">
      <c r="B43" s="33"/>
      <c r="C43" s="146" t="s">
        <v>230</v>
      </c>
      <c r="D43" s="146"/>
      <c r="E43" s="146"/>
      <c r="F43" s="146"/>
      <c r="G43" s="146"/>
      <c r="H43" s="146"/>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32"/>
      <c r="AP43" s="219"/>
      <c r="BV43" s="108"/>
      <c r="BX43" s="1"/>
    </row>
    <row r="44" spans="2:76" ht="13">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BV44" s="108"/>
      <c r="BX44" s="1"/>
    </row>
    <row r="45" spans="2:76" ht="14" customHeight="1">
      <c r="BV45" s="108"/>
      <c r="BX45" s="1"/>
    </row>
    <row r="46" spans="2:76" ht="14" customHeight="1">
      <c r="B46" s="54" t="s">
        <v>671</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BV46" s="108"/>
      <c r="BX46" s="1"/>
    </row>
    <row r="47" spans="2:76" ht="5" customHeight="1">
      <c r="BV47" s="108"/>
      <c r="BX47" s="1"/>
    </row>
    <row r="48" spans="2:76" ht="13">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BV48" s="108"/>
      <c r="BX48" s="1"/>
    </row>
    <row r="49" spans="2:76" ht="14" customHeight="1">
      <c r="B49" s="72"/>
      <c r="C49" s="194" t="s">
        <v>672</v>
      </c>
      <c r="D49" s="194"/>
      <c r="E49" s="194"/>
      <c r="F49" s="194"/>
      <c r="G49" s="194"/>
      <c r="H49" s="194"/>
      <c r="I49" s="147"/>
      <c r="J49" s="147"/>
      <c r="K49" s="147"/>
      <c r="L49" s="147"/>
      <c r="M49" s="147"/>
      <c r="N49" s="147"/>
      <c r="O49" s="194" t="s">
        <v>673</v>
      </c>
      <c r="P49" s="194"/>
      <c r="Q49" s="194"/>
      <c r="R49" s="194"/>
      <c r="S49" s="194"/>
      <c r="T49" s="194"/>
      <c r="U49" s="147"/>
      <c r="V49" s="147"/>
      <c r="W49" s="147"/>
      <c r="X49" s="147"/>
      <c r="Y49" s="147"/>
      <c r="Z49" s="147"/>
      <c r="AA49" s="194" t="s">
        <v>674</v>
      </c>
      <c r="AB49" s="194"/>
      <c r="AC49" s="194"/>
      <c r="AD49" s="194"/>
      <c r="AE49" s="194"/>
      <c r="AF49" s="194"/>
      <c r="AG49" s="147"/>
      <c r="AH49" s="147"/>
      <c r="AI49" s="147"/>
      <c r="AJ49" s="147"/>
      <c r="AK49" s="147"/>
      <c r="AL49" s="147"/>
      <c r="AM49" s="72"/>
      <c r="BV49" s="108"/>
      <c r="BX49" s="1"/>
    </row>
    <row r="50" spans="2:76" ht="5" customHeight="1">
      <c r="B50" s="72"/>
      <c r="C50" s="73"/>
      <c r="D50" s="73"/>
      <c r="E50" s="73"/>
      <c r="F50" s="73"/>
      <c r="G50" s="73"/>
      <c r="H50" s="73"/>
      <c r="I50" s="72"/>
      <c r="J50" s="72"/>
      <c r="K50" s="72"/>
      <c r="L50" s="72"/>
      <c r="M50" s="72"/>
      <c r="N50" s="72"/>
      <c r="O50" s="74"/>
      <c r="P50" s="74"/>
      <c r="Q50" s="74"/>
      <c r="R50" s="74"/>
      <c r="S50" s="74"/>
      <c r="T50" s="74"/>
      <c r="U50" s="72"/>
      <c r="V50" s="72"/>
      <c r="W50" s="72"/>
      <c r="X50" s="72"/>
      <c r="Y50" s="72"/>
      <c r="Z50" s="72"/>
      <c r="AA50" s="74"/>
      <c r="AB50" s="74"/>
      <c r="AC50" s="74"/>
      <c r="AD50" s="74"/>
      <c r="AE50" s="74"/>
      <c r="AF50" s="74"/>
      <c r="AG50" s="72"/>
      <c r="AH50" s="72"/>
      <c r="AI50" s="72"/>
      <c r="AJ50" s="72"/>
      <c r="AK50" s="72"/>
      <c r="AL50" s="72"/>
      <c r="AM50" s="72"/>
      <c r="BV50" s="108"/>
      <c r="BX50" s="1"/>
    </row>
    <row r="51" spans="2:76" ht="14" customHeight="1">
      <c r="B51" s="72"/>
      <c r="C51" s="194" t="s">
        <v>670</v>
      </c>
      <c r="D51" s="194"/>
      <c r="E51" s="194"/>
      <c r="F51" s="194"/>
      <c r="G51" s="194"/>
      <c r="H51" s="194"/>
      <c r="I51" s="158"/>
      <c r="J51" s="159"/>
      <c r="K51" s="159"/>
      <c r="L51" s="159"/>
      <c r="M51" s="159"/>
      <c r="N51" s="160"/>
      <c r="O51" s="193" t="s">
        <v>675</v>
      </c>
      <c r="P51" s="193"/>
      <c r="Q51" s="193"/>
      <c r="R51" s="193"/>
      <c r="S51" s="193"/>
      <c r="T51" s="193"/>
      <c r="U51" s="147"/>
      <c r="V51" s="147"/>
      <c r="W51" s="147"/>
      <c r="X51" s="147"/>
      <c r="Y51" s="147"/>
      <c r="Z51" s="147"/>
      <c r="AA51" s="194" t="s">
        <v>676</v>
      </c>
      <c r="AB51" s="194"/>
      <c r="AC51" s="194"/>
      <c r="AD51" s="194"/>
      <c r="AE51" s="194"/>
      <c r="AF51" s="194"/>
      <c r="AG51" s="147"/>
      <c r="AH51" s="147"/>
      <c r="AI51" s="147"/>
      <c r="AJ51" s="147"/>
      <c r="AK51" s="147"/>
      <c r="AL51" s="147"/>
      <c r="AM51" s="75"/>
      <c r="BV51" s="108"/>
      <c r="BX51" s="1"/>
    </row>
    <row r="52" spans="2:76" ht="5" customHeight="1">
      <c r="B52" s="72"/>
      <c r="C52" s="73"/>
      <c r="D52" s="73"/>
      <c r="E52" s="73"/>
      <c r="F52" s="73"/>
      <c r="G52" s="73"/>
      <c r="H52" s="73"/>
      <c r="I52" s="72"/>
      <c r="J52" s="72"/>
      <c r="K52" s="72"/>
      <c r="L52" s="72"/>
      <c r="M52" s="72"/>
      <c r="N52" s="72"/>
      <c r="O52" s="74"/>
      <c r="P52" s="74"/>
      <c r="Q52" s="74"/>
      <c r="R52" s="74"/>
      <c r="S52" s="74"/>
      <c r="T52" s="74"/>
      <c r="U52" s="72"/>
      <c r="V52" s="72"/>
      <c r="W52" s="72"/>
      <c r="X52" s="72"/>
      <c r="Y52" s="72"/>
      <c r="Z52" s="72"/>
      <c r="AA52" s="74"/>
      <c r="AB52" s="74"/>
      <c r="AC52" s="74"/>
      <c r="AD52" s="74"/>
      <c r="AE52" s="74"/>
      <c r="AF52" s="74"/>
      <c r="AG52" s="72"/>
      <c r="AH52" s="72"/>
      <c r="AI52" s="72"/>
      <c r="AJ52" s="72"/>
      <c r="AK52" s="72"/>
      <c r="AL52" s="72"/>
      <c r="AM52" s="72"/>
      <c r="BV52" s="108"/>
      <c r="BX52" s="1"/>
    </row>
    <row r="53" spans="2:76" ht="14" customHeight="1">
      <c r="B53" s="72"/>
      <c r="C53" s="194" t="s">
        <v>677</v>
      </c>
      <c r="D53" s="194"/>
      <c r="E53" s="194"/>
      <c r="F53" s="194"/>
      <c r="G53" s="194"/>
      <c r="H53" s="220"/>
      <c r="I53" s="158"/>
      <c r="J53" s="159"/>
      <c r="K53" s="159"/>
      <c r="L53" s="159"/>
      <c r="M53" s="159"/>
      <c r="N53" s="160"/>
      <c r="O53" s="193" t="s">
        <v>678</v>
      </c>
      <c r="P53" s="193"/>
      <c r="Q53" s="193"/>
      <c r="R53" s="193"/>
      <c r="S53" s="193"/>
      <c r="T53" s="221"/>
      <c r="U53" s="147"/>
      <c r="V53" s="147"/>
      <c r="W53" s="147"/>
      <c r="X53" s="147"/>
      <c r="Y53" s="147"/>
      <c r="Z53" s="147"/>
      <c r="AA53" s="222" t="s">
        <v>679</v>
      </c>
      <c r="AB53" s="194"/>
      <c r="AC53" s="194"/>
      <c r="AD53" s="194"/>
      <c r="AE53" s="194"/>
      <c r="AF53" s="220"/>
      <c r="AG53" s="147"/>
      <c r="AH53" s="147"/>
      <c r="AI53" s="147"/>
      <c r="AJ53" s="147"/>
      <c r="AK53" s="147"/>
      <c r="AL53" s="147"/>
      <c r="AM53" s="75"/>
      <c r="BV53" s="108"/>
      <c r="BX53" s="1"/>
    </row>
    <row r="54" spans="2:76" ht="5" customHeight="1">
      <c r="B54" s="72"/>
      <c r="C54" s="73"/>
      <c r="D54" s="73"/>
      <c r="E54" s="73"/>
      <c r="F54" s="73"/>
      <c r="G54" s="73"/>
      <c r="H54" s="73"/>
      <c r="I54" s="72"/>
      <c r="J54" s="72"/>
      <c r="K54" s="72"/>
      <c r="L54" s="72"/>
      <c r="M54" s="72"/>
      <c r="N54" s="72"/>
      <c r="O54" s="74"/>
      <c r="P54" s="74"/>
      <c r="Q54" s="74"/>
      <c r="R54" s="74"/>
      <c r="S54" s="74"/>
      <c r="T54" s="74"/>
      <c r="U54" s="72"/>
      <c r="V54" s="72"/>
      <c r="W54" s="72"/>
      <c r="X54" s="72"/>
      <c r="Y54" s="72"/>
      <c r="Z54" s="72"/>
      <c r="AA54" s="74"/>
      <c r="AB54" s="74"/>
      <c r="AC54" s="74"/>
      <c r="AD54" s="74"/>
      <c r="AE54" s="74"/>
      <c r="AF54" s="74"/>
      <c r="AG54" s="72"/>
      <c r="AH54" s="72"/>
      <c r="AI54" s="72"/>
      <c r="AJ54" s="72"/>
      <c r="AK54" s="72"/>
      <c r="AL54" s="72"/>
      <c r="AM54" s="72"/>
      <c r="BV54" s="108"/>
      <c r="BX54" s="1"/>
    </row>
    <row r="55" spans="2:76" ht="14" customHeight="1">
      <c r="B55" s="72"/>
      <c r="C55" s="194" t="s">
        <v>680</v>
      </c>
      <c r="D55" s="194"/>
      <c r="E55" s="194"/>
      <c r="F55" s="194"/>
      <c r="G55" s="194"/>
      <c r="H55" s="220"/>
      <c r="I55" s="158"/>
      <c r="J55" s="159"/>
      <c r="K55" s="159"/>
      <c r="L55" s="159"/>
      <c r="M55" s="159"/>
      <c r="N55" s="160"/>
      <c r="O55" s="74"/>
      <c r="P55" s="74"/>
      <c r="Q55" s="74"/>
      <c r="R55" s="74"/>
      <c r="S55" s="74"/>
      <c r="T55" s="74"/>
      <c r="U55" s="72"/>
      <c r="V55" s="72"/>
      <c r="W55" s="72"/>
      <c r="X55" s="72"/>
      <c r="Y55" s="72"/>
      <c r="Z55" s="72"/>
      <c r="AA55" s="74"/>
      <c r="AB55" s="74"/>
      <c r="AC55" s="74"/>
      <c r="AD55" s="74"/>
      <c r="AE55" s="74"/>
      <c r="AF55" s="74"/>
      <c r="AG55" s="72"/>
      <c r="AH55" s="72"/>
      <c r="AI55" s="72"/>
      <c r="AJ55" s="72"/>
      <c r="AK55" s="72"/>
      <c r="AL55" s="72"/>
      <c r="AM55" s="75"/>
      <c r="BV55" s="108"/>
      <c r="BX55" s="1"/>
    </row>
    <row r="56" spans="2:76" ht="13">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BV56" s="108"/>
      <c r="BX56" s="1"/>
    </row>
    <row r="57" spans="2:76" ht="13">
      <c r="I57" s="76"/>
      <c r="J57" s="76"/>
      <c r="K57" s="76"/>
      <c r="L57" s="76"/>
      <c r="M57" s="76"/>
      <c r="N57" s="76"/>
    </row>
    <row r="58" spans="2:76" ht="14" customHeight="1">
      <c r="B58" s="54" t="s">
        <v>4</v>
      </c>
      <c r="C58" s="3"/>
      <c r="D58" s="3"/>
      <c r="E58" s="3"/>
      <c r="F58" s="3"/>
      <c r="G58" s="3"/>
      <c r="H58" s="3"/>
      <c r="I58" s="3"/>
      <c r="J58" s="3"/>
      <c r="K58" s="223" t="s">
        <v>681</v>
      </c>
      <c r="L58" s="223"/>
      <c r="M58" s="223"/>
      <c r="N58" s="223"/>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BV58" s="108"/>
      <c r="BX58" s="1"/>
    </row>
    <row r="59" spans="2:76" ht="5" customHeight="1">
      <c r="BV59" s="108"/>
      <c r="BX59" s="1"/>
    </row>
    <row r="60" spans="2:76" ht="13">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BV60" s="108"/>
      <c r="BX60" s="1"/>
    </row>
    <row r="61" spans="2:76" ht="13">
      <c r="B61" s="32"/>
      <c r="C61" s="38"/>
      <c r="D61" s="32"/>
      <c r="E61" s="32"/>
      <c r="F61" s="32"/>
      <c r="G61" s="32"/>
      <c r="H61" s="32"/>
      <c r="I61" s="32"/>
      <c r="J61" s="32"/>
      <c r="K61" s="162" t="s">
        <v>682</v>
      </c>
      <c r="L61" s="190"/>
      <c r="M61" s="190"/>
      <c r="N61" s="191"/>
      <c r="O61" s="162" t="s">
        <v>496</v>
      </c>
      <c r="P61" s="190"/>
      <c r="Q61" s="190"/>
      <c r="R61" s="191"/>
      <c r="S61" s="162" t="s">
        <v>650</v>
      </c>
      <c r="T61" s="190"/>
      <c r="U61" s="190"/>
      <c r="V61" s="191"/>
      <c r="W61" s="162" t="s">
        <v>497</v>
      </c>
      <c r="X61" s="190"/>
      <c r="Y61" s="190"/>
      <c r="Z61" s="191"/>
      <c r="AA61" s="162" t="s">
        <v>651</v>
      </c>
      <c r="AB61" s="190"/>
      <c r="AC61" s="190"/>
      <c r="AD61" s="191"/>
      <c r="AE61" s="162" t="s">
        <v>652</v>
      </c>
      <c r="AF61" s="190"/>
      <c r="AG61" s="190"/>
      <c r="AH61" s="191"/>
      <c r="AI61" s="162" t="s">
        <v>683</v>
      </c>
      <c r="AJ61" s="190"/>
      <c r="AK61" s="190"/>
      <c r="AL61" s="191"/>
      <c r="AM61" s="32"/>
      <c r="BV61" s="108"/>
      <c r="BX61" s="1"/>
    </row>
    <row r="62" spans="2:76" ht="14" customHeight="1">
      <c r="B62" s="32"/>
      <c r="C62" s="224">
        <v>2024</v>
      </c>
      <c r="D62" s="224"/>
      <c r="E62" s="225" t="s">
        <v>233</v>
      </c>
      <c r="F62" s="225"/>
      <c r="G62" s="225"/>
      <c r="H62" s="225"/>
      <c r="I62" s="225"/>
      <c r="J62" s="226"/>
      <c r="K62" s="227"/>
      <c r="L62" s="228"/>
      <c r="M62" s="228"/>
      <c r="N62" s="229"/>
      <c r="O62" s="227"/>
      <c r="P62" s="228"/>
      <c r="Q62" s="228"/>
      <c r="R62" s="229"/>
      <c r="S62" s="227"/>
      <c r="T62" s="228"/>
      <c r="U62" s="228"/>
      <c r="V62" s="229"/>
      <c r="W62" s="227"/>
      <c r="X62" s="228"/>
      <c r="Y62" s="228"/>
      <c r="Z62" s="229"/>
      <c r="AA62" s="227"/>
      <c r="AB62" s="228"/>
      <c r="AC62" s="228"/>
      <c r="AD62" s="229"/>
      <c r="AE62" s="227"/>
      <c r="AF62" s="228"/>
      <c r="AG62" s="228"/>
      <c r="AH62" s="229"/>
      <c r="AI62" s="227"/>
      <c r="AJ62" s="228"/>
      <c r="AK62" s="228"/>
      <c r="AL62" s="229"/>
      <c r="AM62" s="32"/>
      <c r="BV62" s="108"/>
      <c r="BX62" s="1"/>
    </row>
    <row r="63" spans="2:76" ht="14" customHeight="1">
      <c r="B63" s="32"/>
      <c r="C63" s="224"/>
      <c r="D63" s="224"/>
      <c r="E63" s="225" t="s">
        <v>684</v>
      </c>
      <c r="F63" s="225"/>
      <c r="G63" s="225"/>
      <c r="H63" s="225"/>
      <c r="I63" s="225"/>
      <c r="J63" s="226"/>
      <c r="K63" s="227"/>
      <c r="L63" s="228"/>
      <c r="M63" s="228"/>
      <c r="N63" s="229"/>
      <c r="O63" s="227"/>
      <c r="P63" s="228"/>
      <c r="Q63" s="228"/>
      <c r="R63" s="229"/>
      <c r="S63" s="227"/>
      <c r="T63" s="228"/>
      <c r="U63" s="228"/>
      <c r="V63" s="229"/>
      <c r="W63" s="227"/>
      <c r="X63" s="228"/>
      <c r="Y63" s="228"/>
      <c r="Z63" s="229"/>
      <c r="AA63" s="227"/>
      <c r="AB63" s="228"/>
      <c r="AC63" s="228"/>
      <c r="AD63" s="229"/>
      <c r="AE63" s="227"/>
      <c r="AF63" s="228"/>
      <c r="AG63" s="228"/>
      <c r="AH63" s="229"/>
      <c r="AI63" s="227"/>
      <c r="AJ63" s="228"/>
      <c r="AK63" s="228"/>
      <c r="AL63" s="229"/>
      <c r="AM63" s="32"/>
      <c r="BV63" s="108"/>
      <c r="BX63" s="1"/>
    </row>
    <row r="64" spans="2:76" ht="14" customHeight="1">
      <c r="B64" s="32"/>
      <c r="C64" s="224">
        <v>2023</v>
      </c>
      <c r="D64" s="224"/>
      <c r="E64" s="225" t="s">
        <v>233</v>
      </c>
      <c r="F64" s="225"/>
      <c r="G64" s="225"/>
      <c r="H64" s="225"/>
      <c r="I64" s="225"/>
      <c r="J64" s="226"/>
      <c r="K64" s="227"/>
      <c r="L64" s="228"/>
      <c r="M64" s="228"/>
      <c r="N64" s="229"/>
      <c r="O64" s="227"/>
      <c r="P64" s="228"/>
      <c r="Q64" s="228"/>
      <c r="R64" s="229"/>
      <c r="S64" s="227"/>
      <c r="T64" s="228"/>
      <c r="U64" s="228"/>
      <c r="V64" s="229"/>
      <c r="W64" s="227"/>
      <c r="X64" s="228"/>
      <c r="Y64" s="228"/>
      <c r="Z64" s="229"/>
      <c r="AA64" s="227"/>
      <c r="AB64" s="228"/>
      <c r="AC64" s="228"/>
      <c r="AD64" s="229"/>
      <c r="AE64" s="227"/>
      <c r="AF64" s="228"/>
      <c r="AG64" s="228"/>
      <c r="AH64" s="229"/>
      <c r="AI64" s="227"/>
      <c r="AJ64" s="228"/>
      <c r="AK64" s="228"/>
      <c r="AL64" s="229"/>
      <c r="AM64" s="32"/>
      <c r="BV64" s="108"/>
      <c r="BX64" s="1"/>
    </row>
    <row r="65" spans="2:76" ht="14" customHeight="1">
      <c r="B65" s="32"/>
      <c r="C65" s="224"/>
      <c r="D65" s="224"/>
      <c r="E65" s="225" t="s">
        <v>684</v>
      </c>
      <c r="F65" s="225"/>
      <c r="G65" s="225"/>
      <c r="H65" s="225"/>
      <c r="I65" s="225"/>
      <c r="J65" s="226"/>
      <c r="K65" s="227"/>
      <c r="L65" s="228"/>
      <c r="M65" s="228"/>
      <c r="N65" s="229"/>
      <c r="O65" s="227"/>
      <c r="P65" s="228"/>
      <c r="Q65" s="228"/>
      <c r="R65" s="229"/>
      <c r="S65" s="227"/>
      <c r="T65" s="228"/>
      <c r="U65" s="228"/>
      <c r="V65" s="229"/>
      <c r="W65" s="227"/>
      <c r="X65" s="228"/>
      <c r="Y65" s="228"/>
      <c r="Z65" s="229"/>
      <c r="AA65" s="227"/>
      <c r="AB65" s="228"/>
      <c r="AC65" s="228"/>
      <c r="AD65" s="229"/>
      <c r="AE65" s="227"/>
      <c r="AF65" s="228"/>
      <c r="AG65" s="228"/>
      <c r="AH65" s="229"/>
      <c r="AI65" s="227"/>
      <c r="AJ65" s="228"/>
      <c r="AK65" s="228"/>
      <c r="AL65" s="229"/>
      <c r="AM65" s="32"/>
      <c r="BV65" s="108"/>
      <c r="BX65" s="1"/>
    </row>
    <row r="66" spans="2:76" ht="14" customHeight="1">
      <c r="B66" s="32"/>
      <c r="C66" s="224">
        <v>2022</v>
      </c>
      <c r="D66" s="224"/>
      <c r="E66" s="225" t="s">
        <v>233</v>
      </c>
      <c r="F66" s="225"/>
      <c r="G66" s="225"/>
      <c r="H66" s="225"/>
      <c r="I66" s="225"/>
      <c r="J66" s="226"/>
      <c r="K66" s="227"/>
      <c r="L66" s="228"/>
      <c r="M66" s="228"/>
      <c r="N66" s="229"/>
      <c r="O66" s="227"/>
      <c r="P66" s="228"/>
      <c r="Q66" s="228"/>
      <c r="R66" s="229"/>
      <c r="S66" s="227"/>
      <c r="T66" s="228"/>
      <c r="U66" s="228"/>
      <c r="V66" s="229"/>
      <c r="W66" s="227"/>
      <c r="X66" s="228"/>
      <c r="Y66" s="228"/>
      <c r="Z66" s="229"/>
      <c r="AA66" s="227"/>
      <c r="AB66" s="228"/>
      <c r="AC66" s="228"/>
      <c r="AD66" s="229"/>
      <c r="AE66" s="227"/>
      <c r="AF66" s="228"/>
      <c r="AG66" s="228"/>
      <c r="AH66" s="229"/>
      <c r="AI66" s="227"/>
      <c r="AJ66" s="228"/>
      <c r="AK66" s="228"/>
      <c r="AL66" s="229"/>
      <c r="AM66" s="32"/>
      <c r="BV66" s="108"/>
      <c r="BX66" s="1"/>
    </row>
    <row r="67" spans="2:76" ht="14" customHeight="1">
      <c r="B67" s="32"/>
      <c r="C67" s="224"/>
      <c r="D67" s="224"/>
      <c r="E67" s="225" t="s">
        <v>684</v>
      </c>
      <c r="F67" s="225"/>
      <c r="G67" s="225"/>
      <c r="H67" s="225"/>
      <c r="I67" s="225"/>
      <c r="J67" s="226"/>
      <c r="K67" s="227"/>
      <c r="L67" s="228"/>
      <c r="M67" s="228"/>
      <c r="N67" s="229"/>
      <c r="O67" s="227"/>
      <c r="P67" s="228"/>
      <c r="Q67" s="228"/>
      <c r="R67" s="229"/>
      <c r="S67" s="227"/>
      <c r="T67" s="228"/>
      <c r="U67" s="228"/>
      <c r="V67" s="229"/>
      <c r="W67" s="227"/>
      <c r="X67" s="228"/>
      <c r="Y67" s="228"/>
      <c r="Z67" s="229"/>
      <c r="AA67" s="227"/>
      <c r="AB67" s="228"/>
      <c r="AC67" s="228"/>
      <c r="AD67" s="229"/>
      <c r="AE67" s="227"/>
      <c r="AF67" s="228"/>
      <c r="AG67" s="228"/>
      <c r="AH67" s="229"/>
      <c r="AI67" s="227"/>
      <c r="AJ67" s="228"/>
      <c r="AK67" s="228"/>
      <c r="AL67" s="229"/>
      <c r="AM67" s="32"/>
      <c r="BV67" s="108"/>
      <c r="BX67" s="1"/>
    </row>
    <row r="68" spans="2:76" ht="14" customHeight="1">
      <c r="B68" s="32"/>
      <c r="C68" s="224">
        <v>2021</v>
      </c>
      <c r="D68" s="224"/>
      <c r="E68" s="225" t="s">
        <v>233</v>
      </c>
      <c r="F68" s="225"/>
      <c r="G68" s="225"/>
      <c r="H68" s="225"/>
      <c r="I68" s="225"/>
      <c r="J68" s="226"/>
      <c r="K68" s="227"/>
      <c r="L68" s="228"/>
      <c r="M68" s="228"/>
      <c r="N68" s="229"/>
      <c r="O68" s="227"/>
      <c r="P68" s="228"/>
      <c r="Q68" s="228"/>
      <c r="R68" s="229"/>
      <c r="S68" s="227"/>
      <c r="T68" s="228"/>
      <c r="U68" s="228"/>
      <c r="V68" s="229"/>
      <c r="W68" s="227"/>
      <c r="X68" s="228"/>
      <c r="Y68" s="228"/>
      <c r="Z68" s="229"/>
      <c r="AA68" s="227"/>
      <c r="AB68" s="228"/>
      <c r="AC68" s="228"/>
      <c r="AD68" s="229"/>
      <c r="AE68" s="227"/>
      <c r="AF68" s="228"/>
      <c r="AG68" s="228"/>
      <c r="AH68" s="229"/>
      <c r="AI68" s="227"/>
      <c r="AJ68" s="228"/>
      <c r="AK68" s="228"/>
      <c r="AL68" s="229"/>
      <c r="AM68" s="32"/>
      <c r="BV68" s="108"/>
      <c r="BX68" s="1"/>
    </row>
    <row r="69" spans="2:76" ht="14" customHeight="1">
      <c r="B69" s="32"/>
      <c r="C69" s="224"/>
      <c r="D69" s="224"/>
      <c r="E69" s="225" t="s">
        <v>684</v>
      </c>
      <c r="F69" s="225"/>
      <c r="G69" s="225"/>
      <c r="H69" s="225"/>
      <c r="I69" s="225"/>
      <c r="J69" s="226"/>
      <c r="K69" s="227"/>
      <c r="L69" s="228"/>
      <c r="M69" s="228"/>
      <c r="N69" s="229"/>
      <c r="O69" s="227"/>
      <c r="P69" s="228"/>
      <c r="Q69" s="228"/>
      <c r="R69" s="229"/>
      <c r="S69" s="227"/>
      <c r="T69" s="228"/>
      <c r="U69" s="228"/>
      <c r="V69" s="229"/>
      <c r="W69" s="227"/>
      <c r="X69" s="228"/>
      <c r="Y69" s="228"/>
      <c r="Z69" s="229"/>
      <c r="AA69" s="227"/>
      <c r="AB69" s="228"/>
      <c r="AC69" s="228"/>
      <c r="AD69" s="229"/>
      <c r="AE69" s="227"/>
      <c r="AF69" s="228"/>
      <c r="AG69" s="228"/>
      <c r="AH69" s="229"/>
      <c r="AI69" s="227"/>
      <c r="AJ69" s="228"/>
      <c r="AK69" s="228"/>
      <c r="AL69" s="229"/>
      <c r="AM69" s="32"/>
      <c r="BV69" s="108"/>
      <c r="BX69" s="1"/>
    </row>
    <row r="70" spans="2:76" ht="14" customHeight="1">
      <c r="B70" s="32"/>
      <c r="C70" s="224">
        <v>2020</v>
      </c>
      <c r="D70" s="224"/>
      <c r="E70" s="225" t="s">
        <v>233</v>
      </c>
      <c r="F70" s="225"/>
      <c r="G70" s="225"/>
      <c r="H70" s="225"/>
      <c r="I70" s="225"/>
      <c r="J70" s="226"/>
      <c r="K70" s="227"/>
      <c r="L70" s="228"/>
      <c r="M70" s="228"/>
      <c r="N70" s="229"/>
      <c r="O70" s="227"/>
      <c r="P70" s="228"/>
      <c r="Q70" s="228"/>
      <c r="R70" s="229"/>
      <c r="S70" s="227"/>
      <c r="T70" s="228"/>
      <c r="U70" s="228"/>
      <c r="V70" s="229"/>
      <c r="W70" s="227"/>
      <c r="X70" s="228"/>
      <c r="Y70" s="228"/>
      <c r="Z70" s="229"/>
      <c r="AA70" s="227"/>
      <c r="AB70" s="228"/>
      <c r="AC70" s="228"/>
      <c r="AD70" s="229"/>
      <c r="AE70" s="227"/>
      <c r="AF70" s="228"/>
      <c r="AG70" s="228"/>
      <c r="AH70" s="229"/>
      <c r="AI70" s="227"/>
      <c r="AJ70" s="228"/>
      <c r="AK70" s="228"/>
      <c r="AL70" s="229"/>
      <c r="AM70" s="32"/>
      <c r="BV70" s="108"/>
      <c r="BX70" s="1"/>
    </row>
    <row r="71" spans="2:76" ht="14" customHeight="1">
      <c r="B71" s="32"/>
      <c r="C71" s="224"/>
      <c r="D71" s="224"/>
      <c r="E71" s="225" t="s">
        <v>684</v>
      </c>
      <c r="F71" s="225"/>
      <c r="G71" s="225"/>
      <c r="H71" s="225"/>
      <c r="I71" s="225"/>
      <c r="J71" s="226"/>
      <c r="K71" s="227"/>
      <c r="L71" s="228"/>
      <c r="M71" s="228"/>
      <c r="N71" s="229"/>
      <c r="O71" s="227"/>
      <c r="P71" s="228"/>
      <c r="Q71" s="228"/>
      <c r="R71" s="229"/>
      <c r="S71" s="227"/>
      <c r="T71" s="228"/>
      <c r="U71" s="228"/>
      <c r="V71" s="229"/>
      <c r="W71" s="227"/>
      <c r="X71" s="228"/>
      <c r="Y71" s="228"/>
      <c r="Z71" s="229"/>
      <c r="AA71" s="227"/>
      <c r="AB71" s="228"/>
      <c r="AC71" s="228"/>
      <c r="AD71" s="229"/>
      <c r="AE71" s="227"/>
      <c r="AF71" s="228"/>
      <c r="AG71" s="228"/>
      <c r="AH71" s="229"/>
      <c r="AI71" s="227"/>
      <c r="AJ71" s="228"/>
      <c r="AK71" s="228"/>
      <c r="AL71" s="229"/>
      <c r="AM71" s="32"/>
      <c r="BV71" s="108"/>
      <c r="BX71" s="1"/>
    </row>
    <row r="72" spans="2:76" ht="6" customHeight="1">
      <c r="B72" s="32"/>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2"/>
      <c r="BV72" s="108"/>
      <c r="BX72" s="1"/>
    </row>
    <row r="73" spans="2:76" ht="13">
      <c r="B73" s="32"/>
      <c r="C73" s="38"/>
      <c r="D73" s="32"/>
      <c r="E73" s="32"/>
      <c r="F73" s="32"/>
      <c r="G73" s="32"/>
      <c r="H73" s="32"/>
      <c r="I73" s="32"/>
      <c r="J73" s="32"/>
      <c r="K73" s="32"/>
      <c r="L73" s="32"/>
      <c r="M73" s="32"/>
      <c r="N73" s="32"/>
      <c r="O73" s="32"/>
      <c r="P73" s="32"/>
      <c r="Q73" s="32"/>
      <c r="R73" s="32"/>
      <c r="S73" s="32"/>
      <c r="T73" s="32"/>
      <c r="U73" s="32"/>
      <c r="V73" s="32"/>
      <c r="W73" s="32"/>
      <c r="X73" s="32"/>
      <c r="Y73" s="32"/>
      <c r="Z73" s="40"/>
      <c r="AA73" s="32"/>
      <c r="AB73" s="40"/>
      <c r="AC73" s="32"/>
      <c r="AD73" s="32"/>
      <c r="AE73" s="32"/>
      <c r="AF73" s="32"/>
      <c r="AG73" s="32"/>
      <c r="AH73" s="32"/>
      <c r="AI73" s="32"/>
      <c r="AJ73" s="32"/>
      <c r="AK73" s="32"/>
      <c r="AL73" s="32"/>
      <c r="AM73" s="32"/>
      <c r="BV73" s="108"/>
      <c r="BX73" s="1"/>
    </row>
    <row r="74" spans="2:76" ht="14" customHeight="1">
      <c r="B74" s="32"/>
      <c r="C74" s="162" t="s">
        <v>495</v>
      </c>
      <c r="D74" s="190"/>
      <c r="E74" s="190"/>
      <c r="F74" s="190"/>
      <c r="G74" s="191"/>
      <c r="H74" s="162" t="s">
        <v>234</v>
      </c>
      <c r="I74" s="190"/>
      <c r="J74" s="190"/>
      <c r="K74" s="190"/>
      <c r="L74" s="191"/>
      <c r="M74" s="162" t="s">
        <v>235</v>
      </c>
      <c r="N74" s="190"/>
      <c r="O74" s="190"/>
      <c r="P74" s="190"/>
      <c r="Q74" s="190"/>
      <c r="R74" s="191"/>
      <c r="S74" s="162" t="s">
        <v>232</v>
      </c>
      <c r="T74" s="190"/>
      <c r="U74" s="191"/>
      <c r="V74" s="162" t="str">
        <f>"Turnover in"&amp;" "&amp;RIGHT($U$22,3)</f>
        <v>Turnover in EUR</v>
      </c>
      <c r="W74" s="190"/>
      <c r="X74" s="190"/>
      <c r="Y74" s="190"/>
      <c r="Z74" s="190"/>
      <c r="AA74" s="191"/>
      <c r="AB74" s="162" t="s">
        <v>236</v>
      </c>
      <c r="AC74" s="190"/>
      <c r="AD74" s="190"/>
      <c r="AE74" s="190"/>
      <c r="AF74" s="190"/>
      <c r="AG74" s="190"/>
      <c r="AH74" s="191"/>
      <c r="AI74" s="190" t="s">
        <v>292</v>
      </c>
      <c r="AJ74" s="190"/>
      <c r="AK74" s="190"/>
      <c r="AL74" s="191"/>
      <c r="AM74" s="32"/>
      <c r="BV74" s="108"/>
      <c r="BX74" s="1"/>
    </row>
    <row r="75" spans="2:76" ht="14" customHeight="1">
      <c r="B75" s="32"/>
      <c r="C75" s="158"/>
      <c r="D75" s="159"/>
      <c r="E75" s="159"/>
      <c r="F75" s="159"/>
      <c r="G75" s="160"/>
      <c r="H75" s="158"/>
      <c r="I75" s="159"/>
      <c r="J75" s="159"/>
      <c r="K75" s="159"/>
      <c r="L75" s="160"/>
      <c r="M75" s="158"/>
      <c r="N75" s="159"/>
      <c r="O75" s="159"/>
      <c r="P75" s="159"/>
      <c r="Q75" s="159"/>
      <c r="R75" s="160"/>
      <c r="S75" s="158"/>
      <c r="T75" s="159"/>
      <c r="U75" s="160"/>
      <c r="V75" s="158"/>
      <c r="W75" s="159"/>
      <c r="X75" s="159"/>
      <c r="Y75" s="159"/>
      <c r="Z75" s="159"/>
      <c r="AA75" s="160"/>
      <c r="AB75" s="158"/>
      <c r="AC75" s="159"/>
      <c r="AD75" s="159"/>
      <c r="AE75" s="159"/>
      <c r="AF75" s="159"/>
      <c r="AG75" s="159"/>
      <c r="AH75" s="160"/>
      <c r="AI75" s="154" t="b">
        <v>0</v>
      </c>
      <c r="AJ75" s="154"/>
      <c r="AK75" s="154"/>
      <c r="AL75" s="155"/>
      <c r="AM75" s="32"/>
      <c r="BV75" s="108"/>
      <c r="BX75" s="1"/>
    </row>
    <row r="76" spans="2:76" ht="14" customHeight="1">
      <c r="B76" s="32"/>
      <c r="C76" s="158"/>
      <c r="D76" s="159"/>
      <c r="E76" s="159"/>
      <c r="F76" s="159"/>
      <c r="G76" s="160"/>
      <c r="H76" s="158"/>
      <c r="I76" s="159"/>
      <c r="J76" s="159"/>
      <c r="K76" s="159"/>
      <c r="L76" s="160"/>
      <c r="M76" s="158"/>
      <c r="N76" s="159"/>
      <c r="O76" s="159"/>
      <c r="P76" s="159"/>
      <c r="Q76" s="159"/>
      <c r="R76" s="160"/>
      <c r="S76" s="158"/>
      <c r="T76" s="159"/>
      <c r="U76" s="160"/>
      <c r="V76" s="158"/>
      <c r="W76" s="159"/>
      <c r="X76" s="159"/>
      <c r="Y76" s="159"/>
      <c r="Z76" s="159"/>
      <c r="AA76" s="160"/>
      <c r="AB76" s="158"/>
      <c r="AC76" s="159"/>
      <c r="AD76" s="159"/>
      <c r="AE76" s="159"/>
      <c r="AF76" s="159"/>
      <c r="AG76" s="159"/>
      <c r="AH76" s="160"/>
      <c r="AI76" s="154" t="b">
        <v>0</v>
      </c>
      <c r="AJ76" s="154"/>
      <c r="AK76" s="154"/>
      <c r="AL76" s="155"/>
      <c r="AM76" s="32"/>
      <c r="BV76" s="108"/>
      <c r="BX76" s="1"/>
    </row>
    <row r="77" spans="2:76" ht="14" customHeight="1">
      <c r="B77" s="32"/>
      <c r="C77" s="158"/>
      <c r="D77" s="159"/>
      <c r="E77" s="159"/>
      <c r="F77" s="159"/>
      <c r="G77" s="160"/>
      <c r="H77" s="158"/>
      <c r="I77" s="159"/>
      <c r="J77" s="159"/>
      <c r="K77" s="159"/>
      <c r="L77" s="160"/>
      <c r="M77" s="158"/>
      <c r="N77" s="159"/>
      <c r="O77" s="159"/>
      <c r="P77" s="159"/>
      <c r="Q77" s="159"/>
      <c r="R77" s="160"/>
      <c r="S77" s="158"/>
      <c r="T77" s="159"/>
      <c r="U77" s="160"/>
      <c r="V77" s="158"/>
      <c r="W77" s="159"/>
      <c r="X77" s="159"/>
      <c r="Y77" s="159"/>
      <c r="Z77" s="159"/>
      <c r="AA77" s="160"/>
      <c r="AB77" s="158"/>
      <c r="AC77" s="159"/>
      <c r="AD77" s="159"/>
      <c r="AE77" s="159"/>
      <c r="AF77" s="159"/>
      <c r="AG77" s="159"/>
      <c r="AH77" s="160"/>
      <c r="AI77" s="154" t="b">
        <v>0</v>
      </c>
      <c r="AJ77" s="154"/>
      <c r="AK77" s="154"/>
      <c r="AL77" s="155"/>
      <c r="AM77" s="32"/>
      <c r="BV77" s="108"/>
      <c r="BX77" s="1"/>
    </row>
    <row r="78" spans="2:76" ht="14" customHeight="1">
      <c r="B78" s="32"/>
      <c r="C78" s="158"/>
      <c r="D78" s="159"/>
      <c r="E78" s="159"/>
      <c r="F78" s="159"/>
      <c r="G78" s="160"/>
      <c r="H78" s="158"/>
      <c r="I78" s="159"/>
      <c r="J78" s="159"/>
      <c r="K78" s="159"/>
      <c r="L78" s="160"/>
      <c r="M78" s="158"/>
      <c r="N78" s="159"/>
      <c r="O78" s="159"/>
      <c r="P78" s="159"/>
      <c r="Q78" s="159"/>
      <c r="R78" s="160"/>
      <c r="S78" s="158"/>
      <c r="T78" s="159"/>
      <c r="U78" s="160"/>
      <c r="V78" s="158"/>
      <c r="W78" s="159"/>
      <c r="X78" s="159"/>
      <c r="Y78" s="159"/>
      <c r="Z78" s="159"/>
      <c r="AA78" s="160"/>
      <c r="AB78" s="158"/>
      <c r="AC78" s="159"/>
      <c r="AD78" s="159"/>
      <c r="AE78" s="159"/>
      <c r="AF78" s="159"/>
      <c r="AG78" s="159"/>
      <c r="AH78" s="160"/>
      <c r="AI78" s="154" t="b">
        <v>0</v>
      </c>
      <c r="AJ78" s="154"/>
      <c r="AK78" s="154"/>
      <c r="AL78" s="155"/>
      <c r="AM78" s="32"/>
      <c r="BV78" s="108"/>
      <c r="BX78" s="1"/>
    </row>
    <row r="79" spans="2:76" ht="14" customHeight="1">
      <c r="B79" s="32"/>
      <c r="C79" s="158"/>
      <c r="D79" s="159"/>
      <c r="E79" s="159"/>
      <c r="F79" s="159"/>
      <c r="G79" s="160"/>
      <c r="H79" s="158"/>
      <c r="I79" s="159"/>
      <c r="J79" s="159"/>
      <c r="K79" s="159"/>
      <c r="L79" s="160"/>
      <c r="M79" s="158"/>
      <c r="N79" s="159"/>
      <c r="O79" s="159"/>
      <c r="P79" s="159"/>
      <c r="Q79" s="159"/>
      <c r="R79" s="160"/>
      <c r="S79" s="158"/>
      <c r="T79" s="159"/>
      <c r="U79" s="160"/>
      <c r="V79" s="158"/>
      <c r="W79" s="159"/>
      <c r="X79" s="159"/>
      <c r="Y79" s="159"/>
      <c r="Z79" s="159"/>
      <c r="AA79" s="160"/>
      <c r="AB79" s="158"/>
      <c r="AC79" s="159"/>
      <c r="AD79" s="159"/>
      <c r="AE79" s="159"/>
      <c r="AF79" s="159"/>
      <c r="AG79" s="159"/>
      <c r="AH79" s="160"/>
      <c r="AI79" s="154" t="b">
        <v>0</v>
      </c>
      <c r="AJ79" s="154"/>
      <c r="AK79" s="154"/>
      <c r="AL79" s="155"/>
      <c r="AM79" s="32"/>
      <c r="BV79" s="108"/>
      <c r="BX79" s="1"/>
    </row>
    <row r="80" spans="2:76" ht="14" customHeight="1">
      <c r="B80" s="32"/>
      <c r="C80" s="158"/>
      <c r="D80" s="159"/>
      <c r="E80" s="159"/>
      <c r="F80" s="159"/>
      <c r="G80" s="160"/>
      <c r="H80" s="158"/>
      <c r="I80" s="159"/>
      <c r="J80" s="159"/>
      <c r="K80" s="159"/>
      <c r="L80" s="160"/>
      <c r="M80" s="158"/>
      <c r="N80" s="159"/>
      <c r="O80" s="159"/>
      <c r="P80" s="159"/>
      <c r="Q80" s="159"/>
      <c r="R80" s="160"/>
      <c r="S80" s="158"/>
      <c r="T80" s="159"/>
      <c r="U80" s="160"/>
      <c r="V80" s="158"/>
      <c r="W80" s="159"/>
      <c r="X80" s="159"/>
      <c r="Y80" s="159"/>
      <c r="Z80" s="159"/>
      <c r="AA80" s="160"/>
      <c r="AB80" s="158"/>
      <c r="AC80" s="159"/>
      <c r="AD80" s="159"/>
      <c r="AE80" s="159"/>
      <c r="AF80" s="159"/>
      <c r="AG80" s="159"/>
      <c r="AH80" s="160"/>
      <c r="AI80" s="154" t="b">
        <v>0</v>
      </c>
      <c r="AJ80" s="154"/>
      <c r="AK80" s="154"/>
      <c r="AL80" s="155"/>
      <c r="AM80" s="32"/>
      <c r="BV80" s="108"/>
      <c r="BX80" s="1"/>
    </row>
    <row r="81" spans="2:76" ht="14" customHeight="1">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BV81" s="108"/>
      <c r="BX81" s="1"/>
    </row>
    <row r="82" spans="2:76" ht="14" customHeight="1">
      <c r="B82" s="32"/>
      <c r="C82" s="32" t="s">
        <v>291</v>
      </c>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BV82" s="108"/>
      <c r="BX82" s="1"/>
    </row>
    <row r="83" spans="2:76" ht="14" customHeight="1">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BV83" s="108"/>
      <c r="BX83" s="1"/>
    </row>
    <row r="84" spans="2:76" ht="14" customHeight="1">
      <c r="B84" s="32"/>
      <c r="C84" s="38"/>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40" t="s">
        <v>5</v>
      </c>
      <c r="AH84" s="32"/>
      <c r="AI84" s="40" t="s">
        <v>6</v>
      </c>
      <c r="AJ84" s="32"/>
      <c r="AK84" s="32"/>
      <c r="AL84" s="32"/>
      <c r="AM84" s="32"/>
      <c r="BV84" s="108"/>
      <c r="BX84" s="1"/>
    </row>
    <row r="85" spans="2:76" ht="13">
      <c r="B85" s="32"/>
      <c r="C85" s="197" t="s">
        <v>261</v>
      </c>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90" t="b">
        <v>0</v>
      </c>
      <c r="AH85" s="91"/>
      <c r="AI85" s="90" t="b">
        <v>0</v>
      </c>
      <c r="AJ85" s="85"/>
      <c r="AK85" s="85"/>
      <c r="AL85" s="32"/>
      <c r="AM85" s="32"/>
      <c r="BV85" s="108"/>
      <c r="BX85" s="1"/>
    </row>
    <row r="86" spans="2:76" ht="5" customHeight="1">
      <c r="B86" s="40"/>
      <c r="C86" s="41"/>
      <c r="D86" s="32"/>
      <c r="E86" s="42"/>
      <c r="F86" s="42"/>
      <c r="G86" s="42"/>
      <c r="H86" s="43"/>
      <c r="I86" s="43"/>
      <c r="J86" s="43"/>
      <c r="K86" s="43"/>
      <c r="L86" s="43"/>
      <c r="M86" s="43"/>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BV86" s="108"/>
      <c r="BX86" s="1"/>
    </row>
    <row r="87" spans="2:76" ht="14" customHeight="1">
      <c r="B87" s="32"/>
      <c r="C87" s="192" t="s">
        <v>7</v>
      </c>
      <c r="D87" s="192"/>
      <c r="E87" s="192"/>
      <c r="F87" s="192"/>
      <c r="G87" s="192"/>
      <c r="H87" s="192"/>
      <c r="I87" s="192"/>
      <c r="J87" s="192"/>
      <c r="K87" s="192"/>
      <c r="L87" s="192"/>
      <c r="M87" s="43"/>
      <c r="N87" s="43"/>
      <c r="O87" s="43"/>
      <c r="P87" s="43"/>
      <c r="Q87" s="43"/>
      <c r="R87" s="43"/>
      <c r="S87" s="43"/>
      <c r="T87" s="43"/>
      <c r="U87" s="43"/>
      <c r="V87" s="43"/>
      <c r="W87" s="43"/>
      <c r="X87" s="32"/>
      <c r="Y87" s="32"/>
      <c r="Z87" s="32"/>
      <c r="AA87" s="32"/>
      <c r="AB87" s="32"/>
      <c r="AC87" s="32"/>
      <c r="AD87" s="32"/>
      <c r="AE87" s="32"/>
      <c r="AF87" s="32"/>
      <c r="AG87" s="32"/>
      <c r="AH87" s="32"/>
      <c r="AI87" s="85"/>
      <c r="AJ87" s="32"/>
      <c r="AK87" s="32"/>
      <c r="AL87" s="32"/>
      <c r="AM87" s="32"/>
      <c r="BV87" s="108"/>
      <c r="BX87" s="1"/>
    </row>
    <row r="88" spans="2:76" ht="5" customHeight="1">
      <c r="B88" s="43"/>
      <c r="C88" s="43"/>
      <c r="D88" s="43"/>
      <c r="E88" s="43"/>
      <c r="F88" s="43"/>
      <c r="G88" s="43"/>
      <c r="H88" s="43"/>
      <c r="I88" s="43"/>
      <c r="J88" s="43"/>
      <c r="K88" s="43"/>
      <c r="L88" s="43"/>
      <c r="M88" s="43"/>
      <c r="N88" s="43"/>
      <c r="O88" s="43"/>
      <c r="P88" s="43"/>
      <c r="Q88" s="43"/>
      <c r="R88" s="43"/>
      <c r="S88" s="43"/>
      <c r="T88" s="43"/>
      <c r="U88" s="43"/>
      <c r="V88" s="43"/>
      <c r="W88" s="43"/>
      <c r="X88" s="32"/>
      <c r="Y88" s="32"/>
      <c r="Z88" s="32"/>
      <c r="AA88" s="32"/>
      <c r="AB88" s="32"/>
      <c r="AC88" s="32"/>
      <c r="AD88" s="32"/>
      <c r="AE88" s="32"/>
      <c r="AF88" s="32"/>
      <c r="AG88" s="32"/>
      <c r="AH88" s="32"/>
      <c r="AI88" s="32"/>
      <c r="AJ88" s="32"/>
      <c r="AK88" s="32"/>
      <c r="AL88" s="32"/>
      <c r="AM88" s="32"/>
      <c r="BV88" s="108"/>
      <c r="BX88" s="1"/>
    </row>
    <row r="89" spans="2:76" ht="14" customHeight="1">
      <c r="B89" s="32"/>
      <c r="C89" s="201" t="s">
        <v>231</v>
      </c>
      <c r="D89" s="201"/>
      <c r="E89" s="201"/>
      <c r="F89" s="201"/>
      <c r="G89" s="201"/>
      <c r="H89" s="201"/>
      <c r="I89" s="201"/>
      <c r="J89" s="201"/>
      <c r="K89" s="201"/>
      <c r="L89" s="201"/>
      <c r="M89" s="153" t="s">
        <v>235</v>
      </c>
      <c r="N89" s="153"/>
      <c r="O89" s="153"/>
      <c r="P89" s="153"/>
      <c r="Q89" s="153"/>
      <c r="R89" s="153"/>
      <c r="S89" s="153" t="s">
        <v>232</v>
      </c>
      <c r="T89" s="153"/>
      <c r="U89" s="153"/>
      <c r="V89" s="153" t="str">
        <f>"Turnover in"&amp;" "&amp;RIGHT($U$22,3)</f>
        <v>Turnover in EUR</v>
      </c>
      <c r="W89" s="153"/>
      <c r="X89" s="153"/>
      <c r="Y89" s="153"/>
      <c r="Z89" s="153"/>
      <c r="AA89" s="153"/>
      <c r="AB89" s="153" t="s">
        <v>236</v>
      </c>
      <c r="AC89" s="153"/>
      <c r="AD89" s="153"/>
      <c r="AE89" s="153"/>
      <c r="AF89" s="153"/>
      <c r="AG89" s="153"/>
      <c r="AH89" s="153"/>
      <c r="AI89" s="32"/>
      <c r="AJ89" s="32"/>
      <c r="AK89" s="32"/>
      <c r="AL89" s="32"/>
      <c r="AM89" s="32"/>
      <c r="BV89" s="108"/>
      <c r="BX89" s="1"/>
    </row>
    <row r="90" spans="2:76" ht="14" customHeight="1">
      <c r="B90" s="32"/>
      <c r="C90" s="179"/>
      <c r="D90" s="179"/>
      <c r="E90" s="179"/>
      <c r="F90" s="179"/>
      <c r="G90" s="179"/>
      <c r="H90" s="179"/>
      <c r="I90" s="179"/>
      <c r="J90" s="179"/>
      <c r="K90" s="179"/>
      <c r="L90" s="179"/>
      <c r="M90" s="147"/>
      <c r="N90" s="147"/>
      <c r="O90" s="147"/>
      <c r="P90" s="147"/>
      <c r="Q90" s="147"/>
      <c r="R90" s="147"/>
      <c r="S90" s="158"/>
      <c r="T90" s="159"/>
      <c r="U90" s="160"/>
      <c r="V90" s="147"/>
      <c r="W90" s="147"/>
      <c r="X90" s="147"/>
      <c r="Y90" s="147"/>
      <c r="Z90" s="147"/>
      <c r="AA90" s="147"/>
      <c r="AB90" s="147"/>
      <c r="AC90" s="147"/>
      <c r="AD90" s="147"/>
      <c r="AE90" s="147"/>
      <c r="AF90" s="147"/>
      <c r="AG90" s="147"/>
      <c r="AH90" s="147"/>
      <c r="AI90" s="32"/>
      <c r="AJ90" s="32"/>
      <c r="AK90" s="32"/>
      <c r="AL90" s="32"/>
      <c r="AM90" s="32"/>
      <c r="BV90" s="108"/>
      <c r="BX90" s="1"/>
    </row>
    <row r="91" spans="2:76" ht="14" customHeight="1">
      <c r="B91" s="32"/>
      <c r="C91" s="179"/>
      <c r="D91" s="179"/>
      <c r="E91" s="179"/>
      <c r="F91" s="179"/>
      <c r="G91" s="179"/>
      <c r="H91" s="179"/>
      <c r="I91" s="179"/>
      <c r="J91" s="179"/>
      <c r="K91" s="179"/>
      <c r="L91" s="179"/>
      <c r="M91" s="147"/>
      <c r="N91" s="147"/>
      <c r="O91" s="147"/>
      <c r="P91" s="147"/>
      <c r="Q91" s="147"/>
      <c r="R91" s="147"/>
      <c r="S91" s="158"/>
      <c r="T91" s="159"/>
      <c r="U91" s="160"/>
      <c r="V91" s="147"/>
      <c r="W91" s="147"/>
      <c r="X91" s="147"/>
      <c r="Y91" s="147"/>
      <c r="Z91" s="147"/>
      <c r="AA91" s="147"/>
      <c r="AB91" s="147"/>
      <c r="AC91" s="147"/>
      <c r="AD91" s="147"/>
      <c r="AE91" s="147"/>
      <c r="AF91" s="147"/>
      <c r="AG91" s="147"/>
      <c r="AH91" s="147"/>
      <c r="AI91" s="32"/>
      <c r="AJ91" s="32"/>
      <c r="AK91" s="32"/>
      <c r="AL91" s="32"/>
      <c r="AM91" s="32"/>
      <c r="BV91" s="108"/>
      <c r="BX91" s="1"/>
    </row>
    <row r="92" spans="2:76" ht="14" customHeight="1">
      <c r="B92" s="32"/>
      <c r="C92" s="179"/>
      <c r="D92" s="179"/>
      <c r="E92" s="179"/>
      <c r="F92" s="179"/>
      <c r="G92" s="179"/>
      <c r="H92" s="179"/>
      <c r="I92" s="179"/>
      <c r="J92" s="179"/>
      <c r="K92" s="179"/>
      <c r="L92" s="179"/>
      <c r="M92" s="147"/>
      <c r="N92" s="147"/>
      <c r="O92" s="147"/>
      <c r="P92" s="147"/>
      <c r="Q92" s="147"/>
      <c r="R92" s="147"/>
      <c r="S92" s="158"/>
      <c r="T92" s="159"/>
      <c r="U92" s="160"/>
      <c r="V92" s="147"/>
      <c r="W92" s="147"/>
      <c r="X92" s="147"/>
      <c r="Y92" s="147"/>
      <c r="Z92" s="147"/>
      <c r="AA92" s="147"/>
      <c r="AB92" s="147"/>
      <c r="AC92" s="147"/>
      <c r="AD92" s="147"/>
      <c r="AE92" s="147"/>
      <c r="AF92" s="147"/>
      <c r="AG92" s="147"/>
      <c r="AH92" s="147"/>
      <c r="AI92" s="32"/>
      <c r="AJ92" s="32"/>
      <c r="AK92" s="32"/>
      <c r="AL92" s="32"/>
      <c r="AM92" s="32"/>
      <c r="BV92" s="108"/>
      <c r="BX92" s="1"/>
    </row>
    <row r="93" spans="2:76" ht="14" customHeight="1">
      <c r="B93" s="32"/>
      <c r="C93" s="179"/>
      <c r="D93" s="179"/>
      <c r="E93" s="179"/>
      <c r="F93" s="179"/>
      <c r="G93" s="179"/>
      <c r="H93" s="179"/>
      <c r="I93" s="179"/>
      <c r="J93" s="179"/>
      <c r="K93" s="179"/>
      <c r="L93" s="179"/>
      <c r="M93" s="147"/>
      <c r="N93" s="147"/>
      <c r="O93" s="147"/>
      <c r="P93" s="147"/>
      <c r="Q93" s="147"/>
      <c r="R93" s="147"/>
      <c r="S93" s="158"/>
      <c r="T93" s="159"/>
      <c r="U93" s="160"/>
      <c r="V93" s="147"/>
      <c r="W93" s="147"/>
      <c r="X93" s="147"/>
      <c r="Y93" s="147"/>
      <c r="Z93" s="147"/>
      <c r="AA93" s="147"/>
      <c r="AB93" s="147"/>
      <c r="AC93" s="147"/>
      <c r="AD93" s="147"/>
      <c r="AE93" s="147"/>
      <c r="AF93" s="147"/>
      <c r="AG93" s="147"/>
      <c r="AH93" s="147"/>
      <c r="AI93" s="32"/>
      <c r="AJ93" s="32"/>
      <c r="AK93" s="32"/>
      <c r="AL93" s="32"/>
      <c r="AM93" s="32"/>
      <c r="BV93" s="108"/>
      <c r="BX93" s="1"/>
    </row>
    <row r="94" spans="2:76" ht="14" customHeight="1">
      <c r="B94" s="32"/>
      <c r="C94" s="179"/>
      <c r="D94" s="179"/>
      <c r="E94" s="179"/>
      <c r="F94" s="179"/>
      <c r="G94" s="179"/>
      <c r="H94" s="179"/>
      <c r="I94" s="179"/>
      <c r="J94" s="179"/>
      <c r="K94" s="179"/>
      <c r="L94" s="179"/>
      <c r="M94" s="147"/>
      <c r="N94" s="147"/>
      <c r="O94" s="147"/>
      <c r="P94" s="147"/>
      <c r="Q94" s="147"/>
      <c r="R94" s="147"/>
      <c r="S94" s="158"/>
      <c r="T94" s="159"/>
      <c r="U94" s="160"/>
      <c r="V94" s="147"/>
      <c r="W94" s="147"/>
      <c r="X94" s="147"/>
      <c r="Y94" s="147"/>
      <c r="Z94" s="147"/>
      <c r="AA94" s="147"/>
      <c r="AB94" s="147"/>
      <c r="AC94" s="147"/>
      <c r="AD94" s="147"/>
      <c r="AE94" s="147"/>
      <c r="AF94" s="147"/>
      <c r="AG94" s="147"/>
      <c r="AH94" s="147"/>
      <c r="AI94" s="32"/>
      <c r="AJ94" s="32"/>
      <c r="AK94" s="32"/>
      <c r="AL94" s="32"/>
      <c r="AM94" s="32"/>
      <c r="BV94" s="108"/>
      <c r="BX94" s="1"/>
    </row>
    <row r="95" spans="2:76" ht="14" customHeight="1">
      <c r="B95" s="32"/>
      <c r="C95" s="179"/>
      <c r="D95" s="179"/>
      <c r="E95" s="179"/>
      <c r="F95" s="179"/>
      <c r="G95" s="179"/>
      <c r="H95" s="179"/>
      <c r="I95" s="179"/>
      <c r="J95" s="179"/>
      <c r="K95" s="179"/>
      <c r="L95" s="179"/>
      <c r="M95" s="147"/>
      <c r="N95" s="147"/>
      <c r="O95" s="147"/>
      <c r="P95" s="147"/>
      <c r="Q95" s="147"/>
      <c r="R95" s="147"/>
      <c r="S95" s="158"/>
      <c r="T95" s="159"/>
      <c r="U95" s="160"/>
      <c r="V95" s="147"/>
      <c r="W95" s="147"/>
      <c r="X95" s="147"/>
      <c r="Y95" s="147"/>
      <c r="Z95" s="147"/>
      <c r="AA95" s="147"/>
      <c r="AB95" s="147"/>
      <c r="AC95" s="147"/>
      <c r="AD95" s="147"/>
      <c r="AE95" s="147"/>
      <c r="AF95" s="147"/>
      <c r="AG95" s="147"/>
      <c r="AH95" s="147"/>
      <c r="AI95" s="32"/>
      <c r="AJ95" s="32"/>
      <c r="AK95" s="32"/>
      <c r="AL95" s="32"/>
      <c r="AM95" s="32"/>
      <c r="BV95" s="108"/>
      <c r="BX95" s="1"/>
    </row>
    <row r="96" spans="2:76" ht="5" customHeight="1">
      <c r="B96" s="32"/>
      <c r="C96" s="198"/>
      <c r="D96" s="198"/>
      <c r="E96" s="77"/>
      <c r="F96" s="77"/>
      <c r="G96" s="77"/>
      <c r="H96" s="43"/>
      <c r="I96" s="43"/>
      <c r="J96" s="43"/>
      <c r="K96" s="43"/>
      <c r="L96" s="43"/>
      <c r="M96" s="43"/>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BV96" s="108"/>
      <c r="BX96" s="1"/>
    </row>
    <row r="97" spans="2:76" ht="14" customHeight="1">
      <c r="B97" s="32"/>
      <c r="C97" s="197" t="s">
        <v>260</v>
      </c>
      <c r="D97" s="197"/>
      <c r="E97" s="197"/>
      <c r="F97" s="197"/>
      <c r="G97" s="197"/>
      <c r="H97" s="197"/>
      <c r="I97" s="197"/>
      <c r="J97" s="197"/>
      <c r="K97" s="197"/>
      <c r="L97" s="197"/>
      <c r="M97" s="197"/>
      <c r="N97" s="197"/>
      <c r="O97" s="158"/>
      <c r="P97" s="159"/>
      <c r="Q97" s="159"/>
      <c r="R97" s="159"/>
      <c r="S97" s="159"/>
      <c r="T97" s="159"/>
      <c r="U97" s="160"/>
      <c r="V97" s="67"/>
      <c r="W97" s="67"/>
      <c r="X97" s="67"/>
      <c r="Y97" s="32"/>
      <c r="Z97" s="32"/>
      <c r="AA97" s="32"/>
      <c r="AB97" s="32"/>
      <c r="AC97" s="32"/>
      <c r="AD97" s="32"/>
      <c r="AE97" s="32"/>
      <c r="AF97" s="32"/>
      <c r="AG97" s="32"/>
      <c r="AH97" s="32"/>
      <c r="AI97" s="32"/>
      <c r="AJ97" s="32"/>
      <c r="AK97" s="32"/>
      <c r="AL97" s="32"/>
      <c r="AM97" s="32"/>
      <c r="BV97" s="108"/>
      <c r="BX97" s="1"/>
    </row>
    <row r="98" spans="2:76" ht="13">
      <c r="B98" s="32"/>
      <c r="C98" s="38"/>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BV98" s="108"/>
      <c r="BX98" s="1"/>
    </row>
    <row r="99" spans="2:76" ht="13">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row>
    <row r="100" spans="2:76" ht="13">
      <c r="B100" s="54" t="s">
        <v>237</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spans="2:76" ht="5" customHeight="1">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row>
    <row r="102" spans="2:76" ht="13">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row>
    <row r="103" spans="2:76" ht="15">
      <c r="B103" s="32"/>
      <c r="C103" s="92" t="s">
        <v>510</v>
      </c>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row>
    <row r="104" spans="2:76" ht="13">
      <c r="B104" s="32"/>
      <c r="C104" s="185" t="s">
        <v>255</v>
      </c>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185"/>
      <c r="AH104" s="185"/>
      <c r="AI104" s="185"/>
      <c r="AJ104" s="185"/>
      <c r="AK104" s="185"/>
      <c r="AL104" s="185"/>
      <c r="AM104" s="32"/>
    </row>
    <row r="105" spans="2:76" ht="13">
      <c r="B105" s="32"/>
      <c r="C105" s="180" t="s">
        <v>253</v>
      </c>
      <c r="D105" s="180"/>
      <c r="E105" s="180"/>
      <c r="F105" s="180"/>
      <c r="G105" s="180"/>
      <c r="H105" s="180"/>
      <c r="I105" s="180"/>
      <c r="J105" s="180"/>
      <c r="K105" s="180"/>
      <c r="L105" s="184"/>
      <c r="M105" s="184"/>
      <c r="N105" s="88" t="b">
        <v>0</v>
      </c>
      <c r="O105" s="68"/>
      <c r="P105" s="156" t="s">
        <v>258</v>
      </c>
      <c r="Q105" s="156"/>
      <c r="R105" s="156"/>
      <c r="S105" s="156"/>
      <c r="T105" s="156"/>
      <c r="U105" s="156"/>
      <c r="V105" s="156"/>
      <c r="W105" s="157"/>
      <c r="X105" s="184"/>
      <c r="Y105" s="184"/>
      <c r="Z105" s="88" t="b">
        <v>0</v>
      </c>
      <c r="AA105" s="68"/>
      <c r="AB105" s="156" t="s">
        <v>262</v>
      </c>
      <c r="AC105" s="156"/>
      <c r="AD105" s="156"/>
      <c r="AE105" s="156"/>
      <c r="AF105" s="156"/>
      <c r="AG105" s="156"/>
      <c r="AH105" s="156"/>
      <c r="AI105" s="157"/>
      <c r="AJ105" s="184"/>
      <c r="AK105" s="184"/>
      <c r="AL105" s="89" t="b">
        <v>0</v>
      </c>
      <c r="AM105" s="32"/>
    </row>
    <row r="106" spans="2:76" ht="13">
      <c r="B106" s="32"/>
      <c r="C106" s="180" t="s">
        <v>266</v>
      </c>
      <c r="D106" s="180"/>
      <c r="E106" s="180"/>
      <c r="F106" s="180"/>
      <c r="G106" s="180"/>
      <c r="H106" s="180"/>
      <c r="I106" s="180"/>
      <c r="J106" s="180"/>
      <c r="K106" s="180"/>
      <c r="L106" s="184"/>
      <c r="M106" s="184"/>
      <c r="N106" s="88" t="b">
        <v>0</v>
      </c>
      <c r="O106" s="68"/>
      <c r="P106" s="156" t="s">
        <v>270</v>
      </c>
      <c r="Q106" s="156"/>
      <c r="R106" s="156"/>
      <c r="S106" s="156"/>
      <c r="T106" s="156"/>
      <c r="U106" s="156"/>
      <c r="V106" s="156"/>
      <c r="W106" s="157"/>
      <c r="X106" s="184"/>
      <c r="Y106" s="184"/>
      <c r="Z106" s="88" t="b">
        <v>0</v>
      </c>
      <c r="AA106" s="68"/>
      <c r="AB106" s="156" t="s">
        <v>273</v>
      </c>
      <c r="AC106" s="156"/>
      <c r="AD106" s="156"/>
      <c r="AE106" s="156"/>
      <c r="AF106" s="156"/>
      <c r="AG106" s="156"/>
      <c r="AH106" s="156"/>
      <c r="AI106" s="157"/>
      <c r="AJ106" s="184"/>
      <c r="AK106" s="184"/>
      <c r="AL106" s="89" t="b">
        <v>0</v>
      </c>
      <c r="AM106" s="32"/>
    </row>
    <row r="107" spans="2:76" ht="15">
      <c r="B107" s="32"/>
      <c r="C107" s="180" t="s">
        <v>259</v>
      </c>
      <c r="D107" s="180"/>
      <c r="E107" s="180"/>
      <c r="F107" s="180"/>
      <c r="G107" s="180"/>
      <c r="H107" s="180"/>
      <c r="I107" s="180"/>
      <c r="J107" s="180"/>
      <c r="K107" s="180"/>
      <c r="L107" s="184"/>
      <c r="M107" s="184"/>
      <c r="N107" s="88" t="b">
        <v>0</v>
      </c>
      <c r="O107" s="68"/>
      <c r="P107" s="156" t="s">
        <v>271</v>
      </c>
      <c r="Q107" s="156"/>
      <c r="R107" s="156"/>
      <c r="S107" s="156"/>
      <c r="T107" s="156"/>
      <c r="U107" s="156"/>
      <c r="V107" s="156"/>
      <c r="W107" s="157"/>
      <c r="X107" s="184"/>
      <c r="Y107" s="184"/>
      <c r="Z107" s="88" t="b">
        <v>0</v>
      </c>
      <c r="AA107" s="68"/>
      <c r="AB107" s="156" t="s">
        <v>263</v>
      </c>
      <c r="AC107" s="156"/>
      <c r="AD107" s="156"/>
      <c r="AE107" s="156"/>
      <c r="AF107" s="156"/>
      <c r="AG107" s="156"/>
      <c r="AH107" s="156"/>
      <c r="AI107" s="157"/>
      <c r="AJ107" s="184"/>
      <c r="AK107" s="184"/>
      <c r="AL107" s="89" t="b">
        <v>0</v>
      </c>
      <c r="AM107" s="32"/>
      <c r="AP107" s="78"/>
    </row>
    <row r="108" spans="2:76" ht="13">
      <c r="B108" s="32"/>
      <c r="C108" s="180" t="s">
        <v>267</v>
      </c>
      <c r="D108" s="180"/>
      <c r="E108" s="180"/>
      <c r="F108" s="180"/>
      <c r="G108" s="180"/>
      <c r="H108" s="180"/>
      <c r="I108" s="180"/>
      <c r="J108" s="180"/>
      <c r="K108" s="180"/>
      <c r="L108" s="184"/>
      <c r="M108" s="184"/>
      <c r="N108" s="88" t="b">
        <v>0</v>
      </c>
      <c r="O108" s="68"/>
      <c r="P108" s="156" t="s">
        <v>256</v>
      </c>
      <c r="Q108" s="156"/>
      <c r="R108" s="156"/>
      <c r="S108" s="156"/>
      <c r="T108" s="156"/>
      <c r="U108" s="156"/>
      <c r="V108" s="156"/>
      <c r="W108" s="157"/>
      <c r="X108" s="184"/>
      <c r="Y108" s="184"/>
      <c r="Z108" s="88" t="b">
        <v>0</v>
      </c>
      <c r="AA108" s="68"/>
      <c r="AB108" s="156" t="s">
        <v>265</v>
      </c>
      <c r="AC108" s="156"/>
      <c r="AD108" s="156"/>
      <c r="AE108" s="156"/>
      <c r="AF108" s="156"/>
      <c r="AG108" s="156"/>
      <c r="AH108" s="156"/>
      <c r="AI108" s="157"/>
      <c r="AJ108" s="184"/>
      <c r="AK108" s="184"/>
      <c r="AL108" s="89" t="b">
        <v>0</v>
      </c>
      <c r="AM108" s="32"/>
    </row>
    <row r="109" spans="2:76" ht="13">
      <c r="B109" s="32"/>
      <c r="C109" s="180" t="s">
        <v>268</v>
      </c>
      <c r="D109" s="180"/>
      <c r="E109" s="180"/>
      <c r="F109" s="180"/>
      <c r="G109" s="180"/>
      <c r="H109" s="180"/>
      <c r="I109" s="180"/>
      <c r="J109" s="180"/>
      <c r="K109" s="180"/>
      <c r="L109" s="184"/>
      <c r="M109" s="184"/>
      <c r="N109" s="88" t="b">
        <v>0</v>
      </c>
      <c r="O109" s="68"/>
      <c r="P109" s="156" t="s">
        <v>257</v>
      </c>
      <c r="Q109" s="156"/>
      <c r="R109" s="156"/>
      <c r="S109" s="156"/>
      <c r="T109" s="156"/>
      <c r="U109" s="156"/>
      <c r="V109" s="156"/>
      <c r="W109" s="157"/>
      <c r="X109" s="184"/>
      <c r="Y109" s="184"/>
      <c r="Z109" s="88" t="b">
        <v>0</v>
      </c>
      <c r="AA109" s="68"/>
      <c r="AB109" s="156" t="s">
        <v>264</v>
      </c>
      <c r="AC109" s="156"/>
      <c r="AD109" s="156"/>
      <c r="AE109" s="156"/>
      <c r="AF109" s="156"/>
      <c r="AG109" s="156"/>
      <c r="AH109" s="156"/>
      <c r="AI109" s="157"/>
      <c r="AJ109" s="184"/>
      <c r="AK109" s="184"/>
      <c r="AL109" s="89" t="b">
        <v>0</v>
      </c>
      <c r="AM109" s="32"/>
    </row>
    <row r="110" spans="2:76" ht="15">
      <c r="B110" s="32"/>
      <c r="C110" s="180" t="s">
        <v>269</v>
      </c>
      <c r="D110" s="180"/>
      <c r="E110" s="180"/>
      <c r="F110" s="180"/>
      <c r="G110" s="180"/>
      <c r="H110" s="180"/>
      <c r="I110" s="180"/>
      <c r="J110" s="180"/>
      <c r="K110" s="180"/>
      <c r="L110" s="184"/>
      <c r="M110" s="184"/>
      <c r="N110" s="88" t="b">
        <v>0</v>
      </c>
      <c r="O110" s="68"/>
      <c r="P110" s="156" t="s">
        <v>272</v>
      </c>
      <c r="Q110" s="156"/>
      <c r="R110" s="156"/>
      <c r="S110" s="156"/>
      <c r="T110" s="156"/>
      <c r="U110" s="156"/>
      <c r="V110" s="156"/>
      <c r="W110" s="157"/>
      <c r="X110" s="184"/>
      <c r="Y110" s="184"/>
      <c r="Z110" s="88" t="b">
        <v>0</v>
      </c>
      <c r="AA110" s="68"/>
      <c r="AB110" s="156" t="s">
        <v>254</v>
      </c>
      <c r="AC110" s="156"/>
      <c r="AD110" s="156"/>
      <c r="AE110" s="156"/>
      <c r="AF110" s="156"/>
      <c r="AG110" s="156"/>
      <c r="AH110" s="156"/>
      <c r="AI110" s="157"/>
      <c r="AJ110" s="184"/>
      <c r="AK110" s="184"/>
      <c r="AL110" s="89" t="b">
        <v>0</v>
      </c>
      <c r="AM110" s="32"/>
      <c r="AV110"/>
    </row>
    <row r="111" spans="2:76" ht="5" customHeight="1">
      <c r="B111" s="32"/>
      <c r="C111" s="32"/>
      <c r="D111" s="32"/>
      <c r="E111" s="32"/>
      <c r="F111" s="32"/>
      <c r="G111" s="32"/>
      <c r="H111" s="32"/>
      <c r="I111" s="32"/>
      <c r="J111" s="32"/>
      <c r="K111" s="32"/>
      <c r="L111" s="32"/>
      <c r="M111" s="32"/>
      <c r="N111" s="35"/>
      <c r="O111" s="35"/>
      <c r="P111" s="35"/>
      <c r="Q111" s="35"/>
      <c r="R111" s="35"/>
      <c r="S111" s="35"/>
      <c r="T111" s="35"/>
      <c r="U111" s="35"/>
      <c r="V111" s="35"/>
      <c r="W111" s="32"/>
      <c r="X111" s="32"/>
      <c r="Y111" s="32"/>
      <c r="Z111" s="32"/>
      <c r="AA111" s="35"/>
      <c r="AB111" s="35"/>
      <c r="AC111" s="35"/>
      <c r="AD111" s="35"/>
      <c r="AE111" s="35"/>
      <c r="AF111" s="35"/>
      <c r="AG111" s="35"/>
      <c r="AH111" s="35"/>
      <c r="AI111" s="35"/>
      <c r="AJ111" s="32"/>
      <c r="AK111" s="32"/>
      <c r="AL111" s="32"/>
      <c r="AM111" s="32"/>
    </row>
    <row r="112" spans="2:76" ht="13">
      <c r="B112" s="32"/>
      <c r="C112" s="32" t="s">
        <v>276</v>
      </c>
      <c r="D112" s="32"/>
      <c r="E112" s="32"/>
      <c r="F112" s="181">
        <f>L105+L106+L107+L108+L109+L110+X105+X106+X107+X108+X109+X110+AJ105+AJ106+AJ107+AJ108+AJ109+AJ110</f>
        <v>0</v>
      </c>
      <c r="G112" s="18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row>
    <row r="113" spans="2:48" ht="6" customHeight="1">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V113"/>
    </row>
    <row r="114" spans="2:48" ht="13">
      <c r="B114" s="32"/>
      <c r="C114" s="183" t="s">
        <v>277</v>
      </c>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32"/>
    </row>
    <row r="115" spans="2:48" ht="13">
      <c r="B115" s="32"/>
      <c r="C115" s="205" t="s">
        <v>629</v>
      </c>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206"/>
      <c r="AH115" s="206"/>
      <c r="AI115" s="206"/>
      <c r="AJ115" s="206"/>
      <c r="AK115" s="206"/>
      <c r="AL115" s="207"/>
      <c r="AM115" s="32"/>
    </row>
    <row r="116" spans="2:48" ht="13">
      <c r="B116" s="32"/>
      <c r="C116" s="173" t="s">
        <v>631</v>
      </c>
      <c r="D116" s="173"/>
      <c r="E116" s="173"/>
      <c r="F116" s="173"/>
      <c r="G116" s="173"/>
      <c r="H116" s="173"/>
      <c r="I116" s="173"/>
      <c r="J116" s="173"/>
      <c r="K116" s="173"/>
      <c r="L116" s="173"/>
      <c r="M116" s="173"/>
      <c r="N116" s="88" t="b">
        <v>0</v>
      </c>
      <c r="O116" s="68"/>
      <c r="P116" s="123" t="s">
        <v>632</v>
      </c>
      <c r="Q116" s="123"/>
      <c r="R116" s="123"/>
      <c r="S116" s="123"/>
      <c r="T116" s="123"/>
      <c r="U116" s="123"/>
      <c r="V116" s="123"/>
      <c r="W116" s="123"/>
      <c r="X116" s="123"/>
      <c r="Y116" s="124"/>
      <c r="Z116" s="86" t="b">
        <v>0</v>
      </c>
      <c r="AA116" s="68"/>
      <c r="AB116" s="123" t="s">
        <v>633</v>
      </c>
      <c r="AC116" s="123"/>
      <c r="AD116" s="123"/>
      <c r="AE116" s="123"/>
      <c r="AF116" s="123"/>
      <c r="AG116" s="123"/>
      <c r="AH116" s="123"/>
      <c r="AI116" s="123"/>
      <c r="AJ116" s="123"/>
      <c r="AK116" s="124"/>
      <c r="AL116" s="87" t="b">
        <v>0</v>
      </c>
      <c r="AM116" s="32"/>
    </row>
    <row r="117" spans="2:48" ht="13">
      <c r="B117" s="32"/>
      <c r="C117" s="173" t="s">
        <v>630</v>
      </c>
      <c r="D117" s="173"/>
      <c r="E117" s="173"/>
      <c r="F117" s="173"/>
      <c r="G117" s="173"/>
      <c r="H117" s="173"/>
      <c r="I117" s="173"/>
      <c r="J117" s="173"/>
      <c r="K117" s="173"/>
      <c r="L117" s="173"/>
      <c r="M117" s="173"/>
      <c r="N117" s="88" t="b">
        <v>0</v>
      </c>
      <c r="O117" s="68"/>
      <c r="P117" s="123"/>
      <c r="Q117" s="123"/>
      <c r="R117" s="123"/>
      <c r="S117" s="123"/>
      <c r="T117" s="123"/>
      <c r="U117" s="123"/>
      <c r="V117" s="123"/>
      <c r="W117" s="123"/>
      <c r="X117" s="123"/>
      <c r="Y117" s="124"/>
      <c r="Z117" s="68"/>
      <c r="AA117" s="148"/>
      <c r="AB117" s="148"/>
      <c r="AC117" s="148"/>
      <c r="AD117" s="148"/>
      <c r="AE117" s="148"/>
      <c r="AF117" s="148"/>
      <c r="AG117" s="148"/>
      <c r="AH117" s="148"/>
      <c r="AI117" s="148"/>
      <c r="AJ117" s="148"/>
      <c r="AK117" s="149"/>
      <c r="AL117" s="68"/>
      <c r="AM117" s="32"/>
    </row>
    <row r="118" spans="2:48" ht="13">
      <c r="B118" s="32"/>
      <c r="C118" s="205" t="s">
        <v>634</v>
      </c>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c r="AA118" s="206"/>
      <c r="AB118" s="206"/>
      <c r="AC118" s="206"/>
      <c r="AD118" s="206"/>
      <c r="AE118" s="206"/>
      <c r="AF118" s="206"/>
      <c r="AG118" s="206"/>
      <c r="AH118" s="206"/>
      <c r="AI118" s="206"/>
      <c r="AJ118" s="206"/>
      <c r="AK118" s="206"/>
      <c r="AL118" s="207"/>
      <c r="AM118" s="32"/>
    </row>
    <row r="119" spans="2:48" ht="13">
      <c r="B119" s="32"/>
      <c r="C119" s="202" t="s">
        <v>635</v>
      </c>
      <c r="D119" s="173"/>
      <c r="E119" s="173"/>
      <c r="F119" s="173"/>
      <c r="G119" s="173"/>
      <c r="H119" s="173"/>
      <c r="I119" s="173"/>
      <c r="J119" s="173"/>
      <c r="K119" s="173"/>
      <c r="L119" s="173"/>
      <c r="M119" s="173"/>
      <c r="N119" s="88" t="b">
        <v>0</v>
      </c>
      <c r="O119" s="68"/>
      <c r="P119" s="123" t="s">
        <v>636</v>
      </c>
      <c r="Q119" s="123"/>
      <c r="R119" s="123"/>
      <c r="S119" s="123"/>
      <c r="T119" s="123"/>
      <c r="U119" s="123"/>
      <c r="V119" s="123"/>
      <c r="W119" s="123"/>
      <c r="X119" s="123"/>
      <c r="Y119" s="124"/>
      <c r="Z119" s="86" t="b">
        <v>0</v>
      </c>
      <c r="AA119" s="68"/>
      <c r="AB119" s="106" t="s">
        <v>637</v>
      </c>
      <c r="AC119" s="106"/>
      <c r="AD119" s="106"/>
      <c r="AE119" s="106"/>
      <c r="AF119" s="106"/>
      <c r="AG119" s="106"/>
      <c r="AH119" s="106"/>
      <c r="AI119" s="106"/>
      <c r="AJ119" s="106"/>
      <c r="AK119" s="107"/>
      <c r="AL119" s="87" t="b">
        <v>0</v>
      </c>
      <c r="AM119" s="32"/>
    </row>
    <row r="120" spans="2:48" ht="13">
      <c r="B120" s="32"/>
      <c r="C120" s="173" t="s">
        <v>639</v>
      </c>
      <c r="D120" s="203"/>
      <c r="E120" s="203"/>
      <c r="F120" s="203"/>
      <c r="G120" s="203"/>
      <c r="H120" s="203"/>
      <c r="I120" s="203"/>
      <c r="J120" s="203"/>
      <c r="K120" s="203"/>
      <c r="L120" s="203"/>
      <c r="M120" s="204"/>
      <c r="N120" s="88" t="b">
        <v>0</v>
      </c>
      <c r="O120" s="68"/>
      <c r="P120" s="123" t="s">
        <v>643</v>
      </c>
      <c r="Q120" s="123"/>
      <c r="R120" s="123"/>
      <c r="S120" s="123"/>
      <c r="T120" s="123"/>
      <c r="U120" s="123"/>
      <c r="V120" s="123"/>
      <c r="W120" s="123"/>
      <c r="X120" s="123"/>
      <c r="Y120" s="124"/>
      <c r="Z120" s="86" t="b">
        <v>0</v>
      </c>
      <c r="AA120" s="68"/>
      <c r="AB120" s="106" t="s">
        <v>638</v>
      </c>
      <c r="AC120" s="106"/>
      <c r="AD120" s="106"/>
      <c r="AE120" s="106"/>
      <c r="AF120" s="106"/>
      <c r="AG120" s="106"/>
      <c r="AH120" s="106"/>
      <c r="AI120" s="106"/>
      <c r="AJ120" s="106"/>
      <c r="AK120" s="107"/>
      <c r="AL120" s="87" t="b">
        <v>0</v>
      </c>
      <c r="AM120" s="32"/>
    </row>
    <row r="121" spans="2:48" ht="13">
      <c r="B121" s="32"/>
      <c r="C121" s="205" t="s">
        <v>640</v>
      </c>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c r="AA121" s="206"/>
      <c r="AB121" s="206"/>
      <c r="AC121" s="206"/>
      <c r="AD121" s="206"/>
      <c r="AE121" s="206"/>
      <c r="AF121" s="206"/>
      <c r="AG121" s="206"/>
      <c r="AH121" s="206"/>
      <c r="AI121" s="206"/>
      <c r="AJ121" s="206"/>
      <c r="AK121" s="206"/>
      <c r="AL121" s="207"/>
      <c r="AM121" s="32"/>
    </row>
    <row r="122" spans="2:48" ht="13">
      <c r="B122" s="32"/>
      <c r="C122" s="173" t="s">
        <v>641</v>
      </c>
      <c r="D122" s="173"/>
      <c r="E122" s="173"/>
      <c r="F122" s="173"/>
      <c r="G122" s="173"/>
      <c r="H122" s="173"/>
      <c r="I122" s="173"/>
      <c r="J122" s="173"/>
      <c r="K122" s="173"/>
      <c r="L122" s="173"/>
      <c r="M122" s="173"/>
      <c r="N122" s="88" t="b">
        <v>0</v>
      </c>
      <c r="O122" s="173" t="s">
        <v>642</v>
      </c>
      <c r="P122" s="173"/>
      <c r="Q122" s="173"/>
      <c r="R122" s="173"/>
      <c r="S122" s="173"/>
      <c r="T122" s="173"/>
      <c r="U122" s="173"/>
      <c r="V122" s="173"/>
      <c r="W122" s="173"/>
      <c r="X122" s="173"/>
      <c r="Y122" s="173"/>
      <c r="Z122" s="86" t="b">
        <v>0</v>
      </c>
      <c r="AA122" s="97"/>
      <c r="AB122" s="106"/>
      <c r="AC122" s="106"/>
      <c r="AD122" s="106"/>
      <c r="AE122" s="106"/>
      <c r="AF122" s="106"/>
      <c r="AG122" s="106"/>
      <c r="AH122" s="106"/>
      <c r="AI122" s="106"/>
      <c r="AJ122" s="106"/>
      <c r="AK122" s="106"/>
      <c r="AL122" s="106"/>
      <c r="AM122" s="32"/>
    </row>
    <row r="123" spans="2:48" ht="13">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row>
    <row r="124" spans="2:48" ht="13"/>
    <row r="125" spans="2:48">
      <c r="B125" s="54" t="s">
        <v>657</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spans="2:48" ht="13">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row>
    <row r="127" spans="2:48" ht="13">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row>
    <row r="128" spans="2:48" ht="13.5" customHeight="1">
      <c r="B128" s="32"/>
      <c r="C128" s="121" t="s">
        <v>661</v>
      </c>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15"/>
      <c r="AJ128" s="39" t="s">
        <v>5</v>
      </c>
      <c r="AK128" s="32"/>
      <c r="AL128" s="39" t="s">
        <v>6</v>
      </c>
      <c r="AM128" s="32"/>
    </row>
    <row r="129" spans="2:39" ht="13">
      <c r="B129" s="32"/>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15"/>
      <c r="AJ129" s="90" t="b">
        <v>0</v>
      </c>
      <c r="AK129" s="91"/>
      <c r="AL129" s="90" t="b">
        <v>0</v>
      </c>
      <c r="AM129" s="32"/>
    </row>
    <row r="130" spans="2:39" ht="13">
      <c r="B130" s="32"/>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5"/>
      <c r="AE130" s="115"/>
      <c r="AF130" s="115"/>
      <c r="AG130" s="115"/>
      <c r="AH130" s="115"/>
      <c r="AI130" s="115"/>
      <c r="AJ130" s="115"/>
      <c r="AK130" s="115"/>
      <c r="AL130" s="115"/>
      <c r="AM130" s="32"/>
    </row>
    <row r="131" spans="2:39" ht="13" customHeight="1">
      <c r="B131" s="32"/>
      <c r="C131" s="120" t="s">
        <v>662</v>
      </c>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15"/>
      <c r="AE131" s="115"/>
      <c r="AF131" s="115"/>
      <c r="AG131" s="115"/>
      <c r="AH131" s="115"/>
      <c r="AI131" s="115"/>
      <c r="AJ131" s="115"/>
      <c r="AK131" s="115"/>
      <c r="AL131" s="115"/>
      <c r="AM131" s="32"/>
    </row>
    <row r="132" spans="2:39" ht="13">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row>
    <row r="133" spans="2:39" ht="13">
      <c r="B133" s="32"/>
      <c r="C133" s="128" t="s">
        <v>220</v>
      </c>
      <c r="D133" s="129"/>
      <c r="E133" s="129"/>
      <c r="F133" s="129"/>
      <c r="G133" s="129"/>
      <c r="H133" s="129"/>
      <c r="I133" s="129"/>
      <c r="J133" s="129"/>
      <c r="K133" s="130"/>
      <c r="L133" s="128" t="s">
        <v>658</v>
      </c>
      <c r="M133" s="129"/>
      <c r="N133" s="129"/>
      <c r="O133" s="129"/>
      <c r="P133" s="129"/>
      <c r="Q133" s="129"/>
      <c r="R133" s="129"/>
      <c r="S133" s="129"/>
      <c r="T133" s="130"/>
      <c r="U133" s="131" t="s">
        <v>659</v>
      </c>
      <c r="V133" s="132"/>
      <c r="W133" s="132"/>
      <c r="X133" s="132"/>
      <c r="Y133" s="132"/>
      <c r="Z133" s="132"/>
      <c r="AA133" s="132"/>
      <c r="AB133" s="132"/>
      <c r="AC133" s="133"/>
      <c r="AD133" s="131" t="s">
        <v>660</v>
      </c>
      <c r="AE133" s="132"/>
      <c r="AF133" s="132"/>
      <c r="AG133" s="132"/>
      <c r="AH133" s="132"/>
      <c r="AI133" s="132"/>
      <c r="AJ133" s="132"/>
      <c r="AK133" s="132"/>
      <c r="AL133" s="133"/>
      <c r="AM133" s="32"/>
    </row>
    <row r="134" spans="2:39" ht="13">
      <c r="B134" s="32"/>
      <c r="C134" s="122"/>
      <c r="D134" s="123"/>
      <c r="E134" s="123"/>
      <c r="F134" s="123"/>
      <c r="G134" s="123"/>
      <c r="H134" s="123"/>
      <c r="I134" s="123"/>
      <c r="J134" s="123"/>
      <c r="K134" s="124"/>
      <c r="L134" s="122"/>
      <c r="M134" s="123"/>
      <c r="N134" s="123"/>
      <c r="O134" s="123"/>
      <c r="P134" s="123"/>
      <c r="Q134" s="123"/>
      <c r="R134" s="123"/>
      <c r="S134" s="123"/>
      <c r="T134" s="124"/>
      <c r="U134" s="125" t="b">
        <v>0</v>
      </c>
      <c r="V134" s="126"/>
      <c r="W134" s="126"/>
      <c r="X134" s="126"/>
      <c r="Y134" s="126"/>
      <c r="Z134" s="126"/>
      <c r="AA134" s="126"/>
      <c r="AB134" s="126"/>
      <c r="AC134" s="127"/>
      <c r="AD134" s="125" t="b">
        <v>0</v>
      </c>
      <c r="AE134" s="126"/>
      <c r="AF134" s="126"/>
      <c r="AG134" s="126"/>
      <c r="AH134" s="126"/>
      <c r="AI134" s="126"/>
      <c r="AJ134" s="126"/>
      <c r="AK134" s="126"/>
      <c r="AL134" s="127"/>
      <c r="AM134" s="32"/>
    </row>
    <row r="135" spans="2:39" ht="13">
      <c r="B135" s="32"/>
      <c r="C135" s="122"/>
      <c r="D135" s="123"/>
      <c r="E135" s="123"/>
      <c r="F135" s="123"/>
      <c r="G135" s="123"/>
      <c r="H135" s="123"/>
      <c r="I135" s="123"/>
      <c r="J135" s="123"/>
      <c r="K135" s="124"/>
      <c r="L135" s="122"/>
      <c r="M135" s="123"/>
      <c r="N135" s="123"/>
      <c r="O135" s="123"/>
      <c r="P135" s="123"/>
      <c r="Q135" s="123"/>
      <c r="R135" s="123"/>
      <c r="S135" s="123"/>
      <c r="T135" s="124"/>
      <c r="U135" s="125" t="b">
        <v>0</v>
      </c>
      <c r="V135" s="126"/>
      <c r="W135" s="126"/>
      <c r="X135" s="126"/>
      <c r="Y135" s="126"/>
      <c r="Z135" s="126"/>
      <c r="AA135" s="126"/>
      <c r="AB135" s="126"/>
      <c r="AC135" s="127"/>
      <c r="AD135" s="125" t="b">
        <v>0</v>
      </c>
      <c r="AE135" s="126"/>
      <c r="AF135" s="126"/>
      <c r="AG135" s="126"/>
      <c r="AH135" s="126"/>
      <c r="AI135" s="126"/>
      <c r="AJ135" s="126"/>
      <c r="AK135" s="126"/>
      <c r="AL135" s="127"/>
      <c r="AM135" s="32"/>
    </row>
    <row r="136" spans="2:39" ht="13">
      <c r="B136" s="32"/>
      <c r="C136" s="122"/>
      <c r="D136" s="123"/>
      <c r="E136" s="123"/>
      <c r="F136" s="123"/>
      <c r="G136" s="123"/>
      <c r="H136" s="123"/>
      <c r="I136" s="123"/>
      <c r="J136" s="123"/>
      <c r="K136" s="124"/>
      <c r="L136" s="122"/>
      <c r="M136" s="123"/>
      <c r="N136" s="123"/>
      <c r="O136" s="123"/>
      <c r="P136" s="123"/>
      <c r="Q136" s="123"/>
      <c r="R136" s="123"/>
      <c r="S136" s="123"/>
      <c r="T136" s="124"/>
      <c r="U136" s="125" t="b">
        <v>0</v>
      </c>
      <c r="V136" s="126"/>
      <c r="W136" s="126"/>
      <c r="X136" s="126"/>
      <c r="Y136" s="126"/>
      <c r="Z136" s="126"/>
      <c r="AA136" s="126"/>
      <c r="AB136" s="126"/>
      <c r="AC136" s="127"/>
      <c r="AD136" s="125" t="b">
        <v>0</v>
      </c>
      <c r="AE136" s="126"/>
      <c r="AF136" s="126"/>
      <c r="AG136" s="126"/>
      <c r="AH136" s="126"/>
      <c r="AI136" s="126"/>
      <c r="AJ136" s="126"/>
      <c r="AK136" s="126"/>
      <c r="AL136" s="127"/>
      <c r="AM136" s="32"/>
    </row>
    <row r="137" spans="2:39" ht="13">
      <c r="B137" s="32"/>
      <c r="C137" s="122"/>
      <c r="D137" s="123"/>
      <c r="E137" s="123"/>
      <c r="F137" s="123"/>
      <c r="G137" s="123"/>
      <c r="H137" s="123"/>
      <c r="I137" s="123"/>
      <c r="J137" s="123"/>
      <c r="K137" s="124"/>
      <c r="L137" s="122"/>
      <c r="M137" s="123"/>
      <c r="N137" s="123"/>
      <c r="O137" s="123"/>
      <c r="P137" s="123"/>
      <c r="Q137" s="123"/>
      <c r="R137" s="123"/>
      <c r="S137" s="123"/>
      <c r="T137" s="124"/>
      <c r="U137" s="125" t="b">
        <v>0</v>
      </c>
      <c r="V137" s="126"/>
      <c r="W137" s="126"/>
      <c r="X137" s="126"/>
      <c r="Y137" s="126"/>
      <c r="Z137" s="126"/>
      <c r="AA137" s="126"/>
      <c r="AB137" s="126"/>
      <c r="AC137" s="127"/>
      <c r="AD137" s="125" t="b">
        <v>0</v>
      </c>
      <c r="AE137" s="126"/>
      <c r="AF137" s="126"/>
      <c r="AG137" s="126"/>
      <c r="AH137" s="126"/>
      <c r="AI137" s="126"/>
      <c r="AJ137" s="126"/>
      <c r="AK137" s="126"/>
      <c r="AL137" s="127"/>
      <c r="AM137" s="32"/>
    </row>
    <row r="138" spans="2:39" ht="13">
      <c r="B138" s="32"/>
      <c r="C138" s="122"/>
      <c r="D138" s="123"/>
      <c r="E138" s="123"/>
      <c r="F138" s="123"/>
      <c r="G138" s="123"/>
      <c r="H138" s="123"/>
      <c r="I138" s="123"/>
      <c r="J138" s="123"/>
      <c r="K138" s="124"/>
      <c r="L138" s="122"/>
      <c r="M138" s="123"/>
      <c r="N138" s="123"/>
      <c r="O138" s="123"/>
      <c r="P138" s="123"/>
      <c r="Q138" s="123"/>
      <c r="R138" s="123"/>
      <c r="S138" s="123"/>
      <c r="T138" s="124"/>
      <c r="U138" s="125" t="b">
        <v>0</v>
      </c>
      <c r="V138" s="126"/>
      <c r="W138" s="126"/>
      <c r="X138" s="126"/>
      <c r="Y138" s="126"/>
      <c r="Z138" s="126"/>
      <c r="AA138" s="126"/>
      <c r="AB138" s="126"/>
      <c r="AC138" s="127"/>
      <c r="AD138" s="125" t="b">
        <v>0</v>
      </c>
      <c r="AE138" s="126"/>
      <c r="AF138" s="126"/>
      <c r="AG138" s="126"/>
      <c r="AH138" s="126"/>
      <c r="AI138" s="126"/>
      <c r="AJ138" s="126"/>
      <c r="AK138" s="126"/>
      <c r="AL138" s="127"/>
      <c r="AM138" s="32"/>
    </row>
    <row r="139" spans="2:39" ht="13">
      <c r="B139" s="32"/>
      <c r="C139" s="114"/>
      <c r="D139" s="97"/>
      <c r="E139" s="97"/>
      <c r="F139" s="97"/>
      <c r="G139" s="97"/>
      <c r="H139" s="97"/>
      <c r="I139" s="97"/>
      <c r="J139" s="97"/>
      <c r="K139" s="113"/>
      <c r="L139" s="114"/>
      <c r="M139" s="97"/>
      <c r="N139" s="97"/>
      <c r="O139" s="97"/>
      <c r="P139" s="97"/>
      <c r="Q139" s="97"/>
      <c r="R139" s="97"/>
      <c r="S139" s="97"/>
      <c r="T139" s="113"/>
      <c r="U139" s="125" t="b">
        <v>0</v>
      </c>
      <c r="V139" s="126"/>
      <c r="W139" s="126"/>
      <c r="X139" s="126"/>
      <c r="Y139" s="126"/>
      <c r="Z139" s="126"/>
      <c r="AA139" s="126"/>
      <c r="AB139" s="126"/>
      <c r="AC139" s="127"/>
      <c r="AD139" s="125" t="b">
        <v>0</v>
      </c>
      <c r="AE139" s="126"/>
      <c r="AF139" s="126"/>
      <c r="AG139" s="126"/>
      <c r="AH139" s="126"/>
      <c r="AI139" s="126"/>
      <c r="AJ139" s="126"/>
      <c r="AK139" s="126"/>
      <c r="AL139" s="127"/>
      <c r="AM139" s="32"/>
    </row>
    <row r="140" spans="2:39" ht="13">
      <c r="B140" s="32"/>
      <c r="C140" s="114"/>
      <c r="D140" s="97"/>
      <c r="E140" s="97"/>
      <c r="F140" s="97"/>
      <c r="G140" s="97"/>
      <c r="H140" s="97"/>
      <c r="I140" s="97"/>
      <c r="J140" s="97"/>
      <c r="K140" s="113"/>
      <c r="L140" s="114"/>
      <c r="M140" s="97"/>
      <c r="N140" s="97"/>
      <c r="O140" s="97"/>
      <c r="P140" s="97"/>
      <c r="Q140" s="97"/>
      <c r="R140" s="97"/>
      <c r="S140" s="97"/>
      <c r="T140" s="113"/>
      <c r="U140" s="125" t="b">
        <v>0</v>
      </c>
      <c r="V140" s="126"/>
      <c r="W140" s="126"/>
      <c r="X140" s="126"/>
      <c r="Y140" s="126"/>
      <c r="Z140" s="126"/>
      <c r="AA140" s="126"/>
      <c r="AB140" s="126"/>
      <c r="AC140" s="127"/>
      <c r="AD140" s="125" t="b">
        <v>0</v>
      </c>
      <c r="AE140" s="126"/>
      <c r="AF140" s="126"/>
      <c r="AG140" s="126"/>
      <c r="AH140" s="126"/>
      <c r="AI140" s="126"/>
      <c r="AJ140" s="126"/>
      <c r="AK140" s="126"/>
      <c r="AL140" s="127"/>
      <c r="AM140" s="32"/>
    </row>
    <row r="141" spans="2:39" ht="13">
      <c r="B141" s="32"/>
      <c r="C141" s="114"/>
      <c r="D141" s="97"/>
      <c r="E141" s="97"/>
      <c r="F141" s="97"/>
      <c r="G141" s="97"/>
      <c r="H141" s="97"/>
      <c r="I141" s="97"/>
      <c r="J141" s="97"/>
      <c r="K141" s="113"/>
      <c r="L141" s="114"/>
      <c r="M141" s="97"/>
      <c r="N141" s="97"/>
      <c r="O141" s="97"/>
      <c r="P141" s="97"/>
      <c r="Q141" s="97"/>
      <c r="R141" s="97"/>
      <c r="S141" s="97"/>
      <c r="T141" s="113"/>
      <c r="U141" s="125" t="b">
        <v>0</v>
      </c>
      <c r="V141" s="126"/>
      <c r="W141" s="126"/>
      <c r="X141" s="126"/>
      <c r="Y141" s="126"/>
      <c r="Z141" s="126"/>
      <c r="AA141" s="126"/>
      <c r="AB141" s="126"/>
      <c r="AC141" s="127"/>
      <c r="AD141" s="125" t="b">
        <v>0</v>
      </c>
      <c r="AE141" s="126"/>
      <c r="AF141" s="126"/>
      <c r="AG141" s="126"/>
      <c r="AH141" s="126"/>
      <c r="AI141" s="126"/>
      <c r="AJ141" s="126"/>
      <c r="AK141" s="126"/>
      <c r="AL141" s="127"/>
      <c r="AM141" s="32"/>
    </row>
    <row r="142" spans="2:39" ht="13">
      <c r="B142" s="32"/>
      <c r="C142" s="114"/>
      <c r="D142" s="97"/>
      <c r="E142" s="97"/>
      <c r="F142" s="97"/>
      <c r="G142" s="97"/>
      <c r="H142" s="97"/>
      <c r="I142" s="97"/>
      <c r="J142" s="97"/>
      <c r="K142" s="113"/>
      <c r="L142" s="114"/>
      <c r="M142" s="97"/>
      <c r="N142" s="97"/>
      <c r="O142" s="97"/>
      <c r="P142" s="97"/>
      <c r="Q142" s="97"/>
      <c r="R142" s="97"/>
      <c r="S142" s="97"/>
      <c r="T142" s="113"/>
      <c r="U142" s="125" t="b">
        <v>0</v>
      </c>
      <c r="V142" s="126"/>
      <c r="W142" s="126"/>
      <c r="X142" s="126"/>
      <c r="Y142" s="126"/>
      <c r="Z142" s="126"/>
      <c r="AA142" s="126"/>
      <c r="AB142" s="126"/>
      <c r="AC142" s="127"/>
      <c r="AD142" s="125" t="b">
        <v>0</v>
      </c>
      <c r="AE142" s="126"/>
      <c r="AF142" s="126"/>
      <c r="AG142" s="126"/>
      <c r="AH142" s="126"/>
      <c r="AI142" s="126"/>
      <c r="AJ142" s="126"/>
      <c r="AK142" s="126"/>
      <c r="AL142" s="127"/>
      <c r="AM142" s="32"/>
    </row>
    <row r="143" spans="2:39" ht="13">
      <c r="B143" s="32"/>
      <c r="C143" s="122"/>
      <c r="D143" s="123"/>
      <c r="E143" s="123"/>
      <c r="F143" s="123"/>
      <c r="G143" s="123"/>
      <c r="H143" s="123"/>
      <c r="I143" s="123"/>
      <c r="J143" s="123"/>
      <c r="K143" s="124"/>
      <c r="L143" s="122"/>
      <c r="M143" s="123"/>
      <c r="N143" s="123"/>
      <c r="O143" s="123"/>
      <c r="P143" s="123"/>
      <c r="Q143" s="123"/>
      <c r="R143" s="123"/>
      <c r="S143" s="123"/>
      <c r="T143" s="124"/>
      <c r="U143" s="125" t="b">
        <v>0</v>
      </c>
      <c r="V143" s="126"/>
      <c r="W143" s="126"/>
      <c r="X143" s="126"/>
      <c r="Y143" s="126"/>
      <c r="Z143" s="126"/>
      <c r="AA143" s="126"/>
      <c r="AB143" s="126"/>
      <c r="AC143" s="127"/>
      <c r="AD143" s="125" t="b">
        <v>0</v>
      </c>
      <c r="AE143" s="126"/>
      <c r="AF143" s="126"/>
      <c r="AG143" s="126"/>
      <c r="AH143" s="126"/>
      <c r="AI143" s="126"/>
      <c r="AJ143" s="126"/>
      <c r="AK143" s="126"/>
      <c r="AL143" s="127"/>
      <c r="AM143" s="32"/>
    </row>
    <row r="144" spans="2:39" ht="13">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row>
    <row r="145" spans="2:76" ht="13">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BV145" s="108"/>
      <c r="BX145" s="1"/>
    </row>
    <row r="146" spans="2:76" ht="13">
      <c r="B146" s="54" t="s">
        <v>685</v>
      </c>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BV146" s="108"/>
      <c r="BX146" s="1"/>
    </row>
    <row r="147" spans="2:76" ht="5" customHeight="1">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BV147" s="108"/>
      <c r="BX147" s="1"/>
    </row>
    <row r="148" spans="2:76" ht="13">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BV148" s="108"/>
      <c r="BX148" s="1"/>
    </row>
    <row r="149" spans="2:76" ht="13" customHeight="1">
      <c r="B149" s="32"/>
      <c r="C149" s="211" t="s">
        <v>686</v>
      </c>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32"/>
      <c r="BV149" s="108"/>
      <c r="BX149" s="1"/>
    </row>
    <row r="150" spans="2:76" ht="60" customHeight="1">
      <c r="B150" s="32"/>
      <c r="C150" s="186"/>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c r="AB150" s="187"/>
      <c r="AC150" s="187"/>
      <c r="AD150" s="187"/>
      <c r="AE150" s="187"/>
      <c r="AF150" s="187"/>
      <c r="AG150" s="187"/>
      <c r="AH150" s="187"/>
      <c r="AI150" s="187"/>
      <c r="AJ150" s="187"/>
      <c r="AK150" s="187"/>
      <c r="AL150" s="188"/>
      <c r="AM150" s="32"/>
      <c r="BV150" s="108"/>
      <c r="BX150" s="1"/>
    </row>
    <row r="151" spans="2:76" ht="5" customHeight="1">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BV151" s="108"/>
      <c r="BX151" s="1"/>
    </row>
    <row r="152" spans="2:76" ht="13" customHeight="1">
      <c r="B152" s="32"/>
      <c r="C152" s="212" t="s">
        <v>687</v>
      </c>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32"/>
      <c r="BV152" s="108"/>
      <c r="BX152" s="1"/>
    </row>
    <row r="153" spans="2:76" ht="60" customHeight="1">
      <c r="B153" s="32"/>
      <c r="C153" s="186"/>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c r="AB153" s="187"/>
      <c r="AC153" s="187"/>
      <c r="AD153" s="187"/>
      <c r="AE153" s="187"/>
      <c r="AF153" s="187"/>
      <c r="AG153" s="187"/>
      <c r="AH153" s="187"/>
      <c r="AI153" s="187"/>
      <c r="AJ153" s="187"/>
      <c r="AK153" s="187"/>
      <c r="AL153" s="188"/>
      <c r="AM153" s="32"/>
      <c r="BV153" s="108"/>
      <c r="BX153" s="1"/>
    </row>
    <row r="154" spans="2:76" ht="5" customHeight="1">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BV154" s="108"/>
      <c r="BX154" s="1"/>
    </row>
    <row r="155" spans="2:76" ht="13">
      <c r="B155" s="32"/>
      <c r="C155" s="176" t="s">
        <v>688</v>
      </c>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176"/>
      <c r="AB155" s="176"/>
      <c r="AC155" s="176"/>
      <c r="AD155" s="176"/>
      <c r="AE155" s="176"/>
      <c r="AF155" s="176"/>
      <c r="AG155" s="176"/>
      <c r="AH155" s="176"/>
      <c r="AI155" s="176"/>
      <c r="AJ155" s="176"/>
      <c r="AK155" s="176"/>
      <c r="AL155" s="176"/>
      <c r="AM155" s="32"/>
      <c r="BV155" s="108"/>
      <c r="BX155" s="1"/>
    </row>
    <row r="156" spans="2:76" ht="60" customHeight="1">
      <c r="B156" s="32"/>
      <c r="C156" s="230"/>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c r="AD156" s="148"/>
      <c r="AE156" s="148"/>
      <c r="AF156" s="148"/>
      <c r="AG156" s="148"/>
      <c r="AH156" s="148"/>
      <c r="AI156" s="148"/>
      <c r="AJ156" s="148"/>
      <c r="AK156" s="148"/>
      <c r="AL156" s="149"/>
      <c r="AM156" s="32"/>
      <c r="BV156" s="108"/>
      <c r="BX156" s="1"/>
    </row>
    <row r="157" spans="2:76" ht="5" customHeight="1">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BV157" s="108"/>
      <c r="BX157" s="1"/>
    </row>
    <row r="158" spans="2:76" ht="13">
      <c r="B158" s="32"/>
      <c r="C158" s="212" t="s">
        <v>689</v>
      </c>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32"/>
      <c r="BV158" s="108"/>
      <c r="BX158" s="1"/>
    </row>
    <row r="159" spans="2:76" ht="60" customHeight="1">
      <c r="B159" s="32"/>
      <c r="C159" s="186"/>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c r="AB159" s="187"/>
      <c r="AC159" s="187"/>
      <c r="AD159" s="187"/>
      <c r="AE159" s="187"/>
      <c r="AF159" s="187"/>
      <c r="AG159" s="187"/>
      <c r="AH159" s="187"/>
      <c r="AI159" s="187"/>
      <c r="AJ159" s="187"/>
      <c r="AK159" s="187"/>
      <c r="AL159" s="188"/>
      <c r="AM159" s="32"/>
      <c r="BV159" s="108"/>
      <c r="BX159" s="1"/>
    </row>
    <row r="160" spans="2:76" ht="13">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BV160" s="108"/>
      <c r="BX160" s="1"/>
    </row>
    <row r="161" spans="2:39" ht="13">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row>
    <row r="162" spans="2:39" ht="13">
      <c r="B162" s="54" t="s">
        <v>498</v>
      </c>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spans="2:39" ht="13">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row>
    <row r="164" spans="2:39" ht="13">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row>
    <row r="165" spans="2:39" ht="28" customHeight="1">
      <c r="B165" s="32"/>
      <c r="C165" s="211" t="s">
        <v>499</v>
      </c>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32"/>
    </row>
    <row r="166" spans="2:39" ht="60" customHeight="1">
      <c r="B166" s="32"/>
      <c r="C166" s="186"/>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7"/>
      <c r="AI166" s="187"/>
      <c r="AJ166" s="187"/>
      <c r="AK166" s="187"/>
      <c r="AL166" s="188"/>
      <c r="AM166" s="32"/>
    </row>
    <row r="167" spans="2:39" ht="5" customHeight="1">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row>
    <row r="168" spans="2:39" ht="41" customHeight="1">
      <c r="B168" s="32"/>
      <c r="C168" s="212" t="s">
        <v>500</v>
      </c>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32"/>
    </row>
    <row r="169" spans="2:39" ht="60" customHeight="1">
      <c r="B169" s="32"/>
      <c r="C169" s="186"/>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c r="AE169" s="187"/>
      <c r="AF169" s="187"/>
      <c r="AG169" s="187"/>
      <c r="AH169" s="187"/>
      <c r="AI169" s="187"/>
      <c r="AJ169" s="187"/>
      <c r="AK169" s="187"/>
      <c r="AL169" s="188"/>
      <c r="AM169" s="32"/>
    </row>
    <row r="170" spans="2:39" ht="55.5" customHeight="1">
      <c r="B170" s="32"/>
      <c r="C170" s="176" t="s">
        <v>501</v>
      </c>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c r="AA170" s="176"/>
      <c r="AB170" s="176"/>
      <c r="AC170" s="176"/>
      <c r="AD170" s="176"/>
      <c r="AE170" s="176"/>
      <c r="AF170" s="176"/>
      <c r="AG170" s="176"/>
      <c r="AH170" s="176"/>
      <c r="AI170" s="176"/>
      <c r="AJ170" s="176"/>
      <c r="AK170" s="176"/>
      <c r="AL170" s="176"/>
      <c r="AM170" s="32"/>
    </row>
    <row r="171" spans="2:39" ht="43" customHeight="1">
      <c r="B171" s="32"/>
      <c r="C171" s="213"/>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c r="AC171" s="214"/>
      <c r="AD171" s="214"/>
      <c r="AE171" s="214"/>
      <c r="AF171" s="214"/>
      <c r="AG171" s="214"/>
      <c r="AH171" s="214"/>
      <c r="AI171" s="214"/>
      <c r="AJ171" s="214"/>
      <c r="AK171" s="214"/>
      <c r="AL171" s="215"/>
      <c r="AM171" s="32"/>
    </row>
    <row r="172" spans="2:39" ht="60" customHeight="1">
      <c r="B172" s="32"/>
      <c r="C172" s="216"/>
      <c r="D172" s="217"/>
      <c r="E172" s="217"/>
      <c r="F172" s="217"/>
      <c r="G172" s="217"/>
      <c r="H172" s="217"/>
      <c r="I172" s="217"/>
      <c r="J172" s="217"/>
      <c r="K172" s="217"/>
      <c r="L172" s="217"/>
      <c r="M172" s="217"/>
      <c r="N172" s="217"/>
      <c r="O172" s="217"/>
      <c r="P172" s="217"/>
      <c r="Q172" s="217"/>
      <c r="R172" s="217"/>
      <c r="S172" s="217"/>
      <c r="T172" s="217"/>
      <c r="U172" s="217"/>
      <c r="V172" s="217"/>
      <c r="W172" s="217"/>
      <c r="X172" s="217"/>
      <c r="Y172" s="217"/>
      <c r="Z172" s="217"/>
      <c r="AA172" s="217"/>
      <c r="AB172" s="217"/>
      <c r="AC172" s="217"/>
      <c r="AD172" s="217"/>
      <c r="AE172" s="217"/>
      <c r="AF172" s="217"/>
      <c r="AG172" s="217"/>
      <c r="AH172" s="217"/>
      <c r="AI172" s="217"/>
      <c r="AJ172" s="217"/>
      <c r="AK172" s="217"/>
      <c r="AL172" s="218"/>
      <c r="AM172" s="32"/>
    </row>
    <row r="173" spans="2:39" ht="5" customHeight="1">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row>
    <row r="174" spans="2:39" ht="13">
      <c r="B174" s="32"/>
      <c r="C174" s="212" t="s">
        <v>503</v>
      </c>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32"/>
    </row>
    <row r="175" spans="2:39" ht="60" customHeight="1">
      <c r="B175" s="32"/>
      <c r="C175" s="186"/>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c r="AE175" s="187"/>
      <c r="AF175" s="187"/>
      <c r="AG175" s="187"/>
      <c r="AH175" s="187"/>
      <c r="AI175" s="187"/>
      <c r="AJ175" s="187"/>
      <c r="AK175" s="187"/>
      <c r="AL175" s="188"/>
      <c r="AM175" s="32"/>
    </row>
    <row r="176" spans="2:39" ht="13">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row>
    <row r="177" spans="2:40" ht="14" customHeight="1">
      <c r="AH177" s="79"/>
      <c r="AI177" s="79"/>
      <c r="AJ177" s="80"/>
      <c r="AK177" s="80"/>
      <c r="AL177" s="79"/>
      <c r="AM177" s="31"/>
      <c r="AN177" s="31"/>
    </row>
    <row r="178" spans="2:40" ht="14" customHeight="1">
      <c r="B178" s="54" t="s">
        <v>8</v>
      </c>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1"/>
    </row>
    <row r="179" spans="2:40" ht="5" customHeight="1">
      <c r="C179" s="5"/>
      <c r="AH179" s="31"/>
      <c r="AI179" s="31"/>
      <c r="AJ179" s="31"/>
      <c r="AK179" s="31"/>
      <c r="AL179" s="31"/>
      <c r="AM179" s="31"/>
      <c r="AN179" s="31"/>
    </row>
    <row r="180" spans="2:40" ht="14" customHeight="1">
      <c r="B180" s="62"/>
      <c r="C180" s="38"/>
      <c r="D180" s="32"/>
      <c r="E180" s="32"/>
      <c r="F180" s="32"/>
      <c r="G180" s="32"/>
      <c r="H180" s="32"/>
      <c r="I180" s="32"/>
      <c r="J180" s="32"/>
      <c r="K180" s="32"/>
      <c r="L180" s="32"/>
      <c r="M180" s="32"/>
      <c r="N180" s="32"/>
      <c r="O180" s="32"/>
      <c r="P180" s="32"/>
      <c r="Q180" s="32"/>
      <c r="R180" s="32"/>
      <c r="S180" s="32"/>
      <c r="T180" s="32"/>
      <c r="U180" s="32"/>
      <c r="V180" s="32"/>
      <c r="W180" s="32"/>
      <c r="X180" s="32"/>
      <c r="Y180" s="32"/>
      <c r="Z180" s="39" t="s">
        <v>5</v>
      </c>
      <c r="AA180" s="32"/>
      <c r="AB180" s="39" t="s">
        <v>6</v>
      </c>
      <c r="AC180" s="32"/>
      <c r="AD180" s="32"/>
      <c r="AE180" s="32"/>
      <c r="AF180" s="32"/>
      <c r="AG180" s="32"/>
      <c r="AH180" s="32"/>
      <c r="AI180" s="32"/>
      <c r="AJ180" s="32"/>
      <c r="AK180" s="32"/>
      <c r="AL180" s="32"/>
      <c r="AM180" s="32"/>
    </row>
    <row r="181" spans="2:40" ht="14" customHeight="1">
      <c r="B181" s="32"/>
      <c r="C181" s="197" t="s">
        <v>238</v>
      </c>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32"/>
      <c r="Z181" s="90" t="b">
        <v>0</v>
      </c>
      <c r="AA181" s="35"/>
      <c r="AB181" s="90" t="b">
        <v>0</v>
      </c>
      <c r="AC181" s="32"/>
      <c r="AD181" s="32"/>
      <c r="AE181" s="32"/>
      <c r="AF181" s="32"/>
      <c r="AG181" s="32"/>
      <c r="AH181" s="32"/>
      <c r="AI181" s="32"/>
      <c r="AJ181" s="32"/>
      <c r="AK181" s="32"/>
      <c r="AL181" s="32"/>
      <c r="AM181" s="32"/>
    </row>
    <row r="182" spans="2:40" ht="14" customHeight="1">
      <c r="B182" s="32"/>
      <c r="C182" s="39"/>
      <c r="D182" s="44"/>
      <c r="E182" s="46"/>
      <c r="F182" s="42"/>
      <c r="G182" s="32"/>
      <c r="H182" s="44"/>
      <c r="I182" s="44"/>
      <c r="J182" s="44"/>
      <c r="K182" s="44"/>
      <c r="L182" s="44"/>
      <c r="M182" s="44"/>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row>
    <row r="183" spans="2:40" ht="14" customHeight="1">
      <c r="B183" s="32"/>
      <c r="C183" s="45" t="s">
        <v>7</v>
      </c>
      <c r="D183" s="45"/>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row>
    <row r="184" spans="2:40" ht="5" customHeight="1">
      <c r="B184" s="63"/>
      <c r="C184" s="63"/>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row>
    <row r="185" spans="2:40" ht="14" customHeight="1">
      <c r="B185" s="32"/>
      <c r="C185" s="171" t="s">
        <v>9</v>
      </c>
      <c r="D185" s="171"/>
      <c r="E185" s="171"/>
      <c r="F185" s="171"/>
      <c r="G185" s="171"/>
      <c r="H185" s="171"/>
      <c r="I185" s="171"/>
      <c r="J185" s="171"/>
      <c r="K185" s="171"/>
      <c r="L185" s="171"/>
      <c r="M185" s="171"/>
      <c r="N185" s="171"/>
      <c r="O185" s="171" t="s">
        <v>10</v>
      </c>
      <c r="P185" s="171"/>
      <c r="Q185" s="171"/>
      <c r="R185" s="171"/>
      <c r="S185" s="171"/>
      <c r="T185" s="171"/>
      <c r="U185" s="171"/>
      <c r="V185" s="171"/>
      <c r="W185" s="171"/>
      <c r="X185" s="171"/>
      <c r="Y185" s="171"/>
      <c r="Z185" s="171"/>
      <c r="AA185" s="171" t="s">
        <v>11</v>
      </c>
      <c r="AB185" s="171"/>
      <c r="AC185" s="171"/>
      <c r="AD185" s="171"/>
      <c r="AE185" s="171"/>
      <c r="AF185" s="171"/>
      <c r="AG185" s="171"/>
      <c r="AH185" s="171"/>
      <c r="AI185" s="171"/>
      <c r="AJ185" s="171"/>
      <c r="AK185" s="171"/>
      <c r="AL185" s="171"/>
      <c r="AM185" s="35"/>
    </row>
    <row r="186" spans="2:40" ht="14" customHeight="1">
      <c r="B186" s="32"/>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35"/>
    </row>
    <row r="187" spans="2:40" ht="14" customHeight="1">
      <c r="B187" s="32"/>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c r="AI187" s="178"/>
      <c r="AJ187" s="178"/>
      <c r="AK187" s="178"/>
      <c r="AL187" s="178"/>
      <c r="AM187" s="35"/>
    </row>
    <row r="188" spans="2:40" ht="14" customHeight="1">
      <c r="B188" s="32"/>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c r="AC188" s="178"/>
      <c r="AD188" s="178"/>
      <c r="AE188" s="178"/>
      <c r="AF188" s="178"/>
      <c r="AG188" s="178"/>
      <c r="AH188" s="178"/>
      <c r="AI188" s="178"/>
      <c r="AJ188" s="178"/>
      <c r="AK188" s="178"/>
      <c r="AL188" s="178"/>
      <c r="AM188" s="35"/>
    </row>
    <row r="189" spans="2:40" ht="14" customHeight="1">
      <c r="B189" s="32"/>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c r="AC189" s="178"/>
      <c r="AD189" s="178"/>
      <c r="AE189" s="178"/>
      <c r="AF189" s="178"/>
      <c r="AG189" s="178"/>
      <c r="AH189" s="178"/>
      <c r="AI189" s="178"/>
      <c r="AJ189" s="178"/>
      <c r="AK189" s="178"/>
      <c r="AL189" s="178"/>
      <c r="AM189" s="35"/>
    </row>
    <row r="190" spans="2:40" ht="14" customHeight="1">
      <c r="B190" s="32"/>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35"/>
    </row>
    <row r="191" spans="2:40" ht="14" customHeight="1">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row>
    <row r="193" spans="2:39" ht="14" customHeight="1">
      <c r="B193" s="54" t="s">
        <v>12</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spans="2:39" ht="5" customHeight="1">
      <c r="B194" s="55"/>
      <c r="C194" s="4"/>
      <c r="D194" s="4"/>
      <c r="E194" s="4"/>
      <c r="F194" s="4"/>
      <c r="G194" s="4"/>
    </row>
    <row r="195" spans="2:39" ht="13">
      <c r="B195" s="32"/>
      <c r="C195" s="50"/>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row>
    <row r="196" spans="2:39" ht="13">
      <c r="B196" s="32"/>
      <c r="C196" s="69" t="s">
        <v>504</v>
      </c>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row>
    <row r="197" spans="2:39" ht="13">
      <c r="B197" s="32"/>
      <c r="C197" s="50"/>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row>
    <row r="198" spans="2:39" ht="14" customHeight="1">
      <c r="B198" s="32"/>
      <c r="C198" s="49"/>
      <c r="D198" s="32"/>
      <c r="E198" s="32"/>
      <c r="F198" s="32"/>
      <c r="G198" s="32"/>
      <c r="H198" s="51"/>
      <c r="I198" s="32"/>
      <c r="J198" s="32"/>
      <c r="K198" s="32"/>
      <c r="L198" s="143" t="s">
        <v>42</v>
      </c>
      <c r="M198" s="144"/>
      <c r="N198" s="144"/>
      <c r="O198" s="144"/>
      <c r="P198" s="144"/>
      <c r="Q198" s="144"/>
      <c r="R198" s="144"/>
      <c r="S198" s="144"/>
      <c r="T198" s="145"/>
      <c r="U198" s="143" t="s">
        <v>43</v>
      </c>
      <c r="V198" s="144"/>
      <c r="W198" s="144"/>
      <c r="X198" s="144"/>
      <c r="Y198" s="144"/>
      <c r="Z198" s="144"/>
      <c r="AA198" s="144"/>
      <c r="AB198" s="144"/>
      <c r="AC198" s="145"/>
      <c r="AD198" s="140" t="s">
        <v>13</v>
      </c>
      <c r="AE198" s="141"/>
      <c r="AF198" s="141"/>
      <c r="AG198" s="141"/>
      <c r="AH198" s="141"/>
      <c r="AI198" s="141"/>
      <c r="AJ198" s="141"/>
      <c r="AK198" s="141"/>
      <c r="AL198" s="142"/>
      <c r="AM198" s="32"/>
    </row>
    <row r="199" spans="2:39" ht="13">
      <c r="B199" s="32"/>
      <c r="C199" s="49"/>
      <c r="D199" s="32"/>
      <c r="E199" s="32"/>
      <c r="F199" s="32"/>
      <c r="G199" s="32"/>
      <c r="H199" s="51"/>
      <c r="I199" s="32"/>
      <c r="J199" s="32"/>
      <c r="K199" s="32"/>
      <c r="L199" s="150" t="s">
        <v>585</v>
      </c>
      <c r="M199" s="151"/>
      <c r="N199" s="151"/>
      <c r="O199" s="151"/>
      <c r="P199" s="151"/>
      <c r="Q199" s="151"/>
      <c r="R199" s="151"/>
      <c r="S199" s="151"/>
      <c r="T199" s="151"/>
      <c r="U199" s="151"/>
      <c r="V199" s="151"/>
      <c r="W199" s="151"/>
      <c r="X199" s="151"/>
      <c r="Y199" s="151"/>
      <c r="Z199" s="151"/>
      <c r="AA199" s="151"/>
      <c r="AB199" s="151"/>
      <c r="AC199" s="151"/>
      <c r="AD199" s="151"/>
      <c r="AE199" s="151"/>
      <c r="AF199" s="151"/>
      <c r="AG199" s="151"/>
      <c r="AH199" s="151"/>
      <c r="AI199" s="151"/>
      <c r="AJ199" s="151"/>
      <c r="AK199" s="151"/>
      <c r="AL199" s="152"/>
      <c r="AM199" s="32"/>
    </row>
    <row r="200" spans="2:39" ht="13">
      <c r="B200" s="146" t="s">
        <v>644</v>
      </c>
      <c r="C200" s="146"/>
      <c r="D200" s="146"/>
      <c r="E200" s="146"/>
      <c r="F200" s="146"/>
      <c r="G200" s="146"/>
      <c r="H200" s="146"/>
      <c r="I200" s="146"/>
      <c r="J200" s="146"/>
      <c r="K200" s="189"/>
      <c r="L200" s="137"/>
      <c r="M200" s="138"/>
      <c r="N200" s="138"/>
      <c r="O200" s="138"/>
      <c r="P200" s="138"/>
      <c r="Q200" s="138"/>
      <c r="R200" s="138"/>
      <c r="S200" s="138"/>
      <c r="T200" s="139"/>
      <c r="U200" s="137"/>
      <c r="V200" s="138"/>
      <c r="W200" s="138"/>
      <c r="X200" s="138"/>
      <c r="Y200" s="138"/>
      <c r="Z200" s="138"/>
      <c r="AA200" s="138"/>
      <c r="AB200" s="138"/>
      <c r="AC200" s="139"/>
      <c r="AD200" s="137"/>
      <c r="AE200" s="138"/>
      <c r="AF200" s="138"/>
      <c r="AG200" s="138"/>
      <c r="AH200" s="138"/>
      <c r="AI200" s="138"/>
      <c r="AJ200" s="138"/>
      <c r="AK200" s="138"/>
      <c r="AL200" s="139"/>
      <c r="AM200" s="32"/>
    </row>
    <row r="201" spans="2:39" ht="13">
      <c r="B201" s="146" t="s">
        <v>586</v>
      </c>
      <c r="C201" s="146"/>
      <c r="D201" s="146"/>
      <c r="E201" s="146"/>
      <c r="F201" s="146"/>
      <c r="G201" s="146"/>
      <c r="H201" s="146"/>
      <c r="I201" s="146"/>
      <c r="J201" s="146"/>
      <c r="K201" s="189"/>
      <c r="L201" s="137"/>
      <c r="M201" s="138"/>
      <c r="N201" s="138"/>
      <c r="O201" s="138"/>
      <c r="P201" s="138"/>
      <c r="Q201" s="138"/>
      <c r="R201" s="138"/>
      <c r="S201" s="138"/>
      <c r="T201" s="139"/>
      <c r="U201" s="137"/>
      <c r="V201" s="138"/>
      <c r="W201" s="138"/>
      <c r="X201" s="138"/>
      <c r="Y201" s="138"/>
      <c r="Z201" s="138"/>
      <c r="AA201" s="138"/>
      <c r="AB201" s="138"/>
      <c r="AC201" s="139"/>
      <c r="AD201" s="137"/>
      <c r="AE201" s="138"/>
      <c r="AF201" s="138"/>
      <c r="AG201" s="138"/>
      <c r="AH201" s="138"/>
      <c r="AI201" s="138"/>
      <c r="AJ201" s="138"/>
      <c r="AK201" s="138"/>
      <c r="AL201" s="139"/>
      <c r="AM201" s="32"/>
    </row>
    <row r="202" spans="2:39" ht="13">
      <c r="B202" s="146" t="s">
        <v>587</v>
      </c>
      <c r="C202" s="146"/>
      <c r="D202" s="146"/>
      <c r="E202" s="146"/>
      <c r="F202" s="146"/>
      <c r="G202" s="146"/>
      <c r="H202" s="146"/>
      <c r="I202" s="146"/>
      <c r="J202" s="146"/>
      <c r="K202" s="189"/>
      <c r="L202" s="137"/>
      <c r="M202" s="138"/>
      <c r="N202" s="138"/>
      <c r="O202" s="138"/>
      <c r="P202" s="138"/>
      <c r="Q202" s="138"/>
      <c r="R202" s="138"/>
      <c r="S202" s="138"/>
      <c r="T202" s="139"/>
      <c r="U202" s="137"/>
      <c r="V202" s="138"/>
      <c r="W202" s="138"/>
      <c r="X202" s="138"/>
      <c r="Y202" s="138"/>
      <c r="Z202" s="138"/>
      <c r="AA202" s="138"/>
      <c r="AB202" s="138"/>
      <c r="AC202" s="139"/>
      <c r="AD202" s="137"/>
      <c r="AE202" s="138"/>
      <c r="AF202" s="138"/>
      <c r="AG202" s="138"/>
      <c r="AH202" s="138"/>
      <c r="AI202" s="138"/>
      <c r="AJ202" s="138"/>
      <c r="AK202" s="138"/>
      <c r="AL202" s="139"/>
      <c r="AM202" s="32"/>
    </row>
    <row r="203" spans="2:39" ht="13">
      <c r="B203" s="146" t="s">
        <v>649</v>
      </c>
      <c r="C203" s="146"/>
      <c r="D203" s="146"/>
      <c r="E203" s="146"/>
      <c r="F203" s="146"/>
      <c r="G203" s="146"/>
      <c r="H203" s="146"/>
      <c r="I203" s="146"/>
      <c r="J203" s="146"/>
      <c r="K203" s="189"/>
      <c r="L203" s="137"/>
      <c r="M203" s="138"/>
      <c r="N203" s="138"/>
      <c r="O203" s="138"/>
      <c r="P203" s="138"/>
      <c r="Q203" s="138"/>
      <c r="R203" s="138"/>
      <c r="S203" s="138"/>
      <c r="T203" s="139"/>
      <c r="U203" s="137"/>
      <c r="V203" s="138"/>
      <c r="W203" s="138"/>
      <c r="X203" s="138"/>
      <c r="Y203" s="138"/>
      <c r="Z203" s="138"/>
      <c r="AA203" s="138"/>
      <c r="AB203" s="138"/>
      <c r="AC203" s="139"/>
      <c r="AD203" s="137"/>
      <c r="AE203" s="138"/>
      <c r="AF203" s="138"/>
      <c r="AG203" s="138"/>
      <c r="AH203" s="138"/>
      <c r="AI203" s="138"/>
      <c r="AJ203" s="138"/>
      <c r="AK203" s="138"/>
      <c r="AL203" s="139"/>
      <c r="AM203" s="32"/>
    </row>
    <row r="204" spans="2:39" ht="13">
      <c r="B204" s="146" t="s">
        <v>645</v>
      </c>
      <c r="C204" s="146"/>
      <c r="D204" s="146"/>
      <c r="E204" s="146"/>
      <c r="F204" s="146"/>
      <c r="G204" s="146"/>
      <c r="H204" s="146"/>
      <c r="I204" s="146"/>
      <c r="J204" s="146"/>
      <c r="K204" s="189"/>
      <c r="L204" s="137"/>
      <c r="M204" s="138"/>
      <c r="N204" s="138"/>
      <c r="O204" s="138"/>
      <c r="P204" s="138"/>
      <c r="Q204" s="138"/>
      <c r="R204" s="138"/>
      <c r="S204" s="138"/>
      <c r="T204" s="139"/>
      <c r="U204" s="137"/>
      <c r="V204" s="138"/>
      <c r="W204" s="138"/>
      <c r="X204" s="138"/>
      <c r="Y204" s="138"/>
      <c r="Z204" s="138"/>
      <c r="AA204" s="138"/>
      <c r="AB204" s="138"/>
      <c r="AC204" s="139"/>
      <c r="AD204" s="137"/>
      <c r="AE204" s="138"/>
      <c r="AF204" s="138"/>
      <c r="AG204" s="138"/>
      <c r="AH204" s="138"/>
      <c r="AI204" s="138"/>
      <c r="AJ204" s="138"/>
      <c r="AK204" s="138"/>
      <c r="AL204" s="139"/>
      <c r="AM204" s="32"/>
    </row>
    <row r="205" spans="2:39" ht="13">
      <c r="B205" s="146" t="s">
        <v>646</v>
      </c>
      <c r="C205" s="146"/>
      <c r="D205" s="146"/>
      <c r="E205" s="146"/>
      <c r="F205" s="146"/>
      <c r="G205" s="146"/>
      <c r="H205" s="146"/>
      <c r="I205" s="146"/>
      <c r="J205" s="146"/>
      <c r="K205" s="189"/>
      <c r="L205" s="137"/>
      <c r="M205" s="138"/>
      <c r="N205" s="138"/>
      <c r="O205" s="138"/>
      <c r="P205" s="138"/>
      <c r="Q205" s="138"/>
      <c r="R205" s="138"/>
      <c r="S205" s="138"/>
      <c r="T205" s="139"/>
      <c r="U205" s="137"/>
      <c r="V205" s="138"/>
      <c r="W205" s="138"/>
      <c r="X205" s="138"/>
      <c r="Y205" s="138"/>
      <c r="Z205" s="138"/>
      <c r="AA205" s="138"/>
      <c r="AB205" s="138"/>
      <c r="AC205" s="139"/>
      <c r="AD205" s="137"/>
      <c r="AE205" s="138"/>
      <c r="AF205" s="138"/>
      <c r="AG205" s="138"/>
      <c r="AH205" s="138"/>
      <c r="AI205" s="138"/>
      <c r="AJ205" s="138"/>
      <c r="AK205" s="138"/>
      <c r="AL205" s="139"/>
      <c r="AM205" s="32"/>
    </row>
    <row r="206" spans="2:39" ht="13">
      <c r="B206" s="146" t="s">
        <v>647</v>
      </c>
      <c r="C206" s="146"/>
      <c r="D206" s="146"/>
      <c r="E206" s="146"/>
      <c r="F206" s="146"/>
      <c r="G206" s="146"/>
      <c r="H206" s="146"/>
      <c r="I206" s="146"/>
      <c r="J206" s="146"/>
      <c r="K206" s="189"/>
      <c r="L206" s="137"/>
      <c r="M206" s="138"/>
      <c r="N206" s="138"/>
      <c r="O206" s="138"/>
      <c r="P206" s="138"/>
      <c r="Q206" s="138"/>
      <c r="R206" s="138"/>
      <c r="S206" s="138"/>
      <c r="T206" s="139"/>
      <c r="U206" s="137"/>
      <c r="V206" s="138"/>
      <c r="W206" s="138"/>
      <c r="X206" s="138"/>
      <c r="Y206" s="138"/>
      <c r="Z206" s="138"/>
      <c r="AA206" s="138"/>
      <c r="AB206" s="138"/>
      <c r="AC206" s="139"/>
      <c r="AD206" s="137"/>
      <c r="AE206" s="138"/>
      <c r="AF206" s="138"/>
      <c r="AG206" s="138"/>
      <c r="AH206" s="138"/>
      <c r="AI206" s="138"/>
      <c r="AJ206" s="138"/>
      <c r="AK206" s="138"/>
      <c r="AL206" s="139"/>
      <c r="AM206" s="32"/>
    </row>
    <row r="207" spans="2:39" ht="13">
      <c r="B207" s="146" t="s">
        <v>648</v>
      </c>
      <c r="C207" s="146"/>
      <c r="D207" s="146"/>
      <c r="E207" s="146"/>
      <c r="F207" s="146"/>
      <c r="G207" s="146"/>
      <c r="H207" s="146"/>
      <c r="I207" s="146"/>
      <c r="J207" s="146"/>
      <c r="K207" s="189"/>
      <c r="L207" s="137"/>
      <c r="M207" s="138"/>
      <c r="N207" s="138"/>
      <c r="O207" s="138"/>
      <c r="P207" s="138"/>
      <c r="Q207" s="138"/>
      <c r="R207" s="138"/>
      <c r="S207" s="138"/>
      <c r="T207" s="139"/>
      <c r="U207" s="137"/>
      <c r="V207" s="138"/>
      <c r="W207" s="138"/>
      <c r="X207" s="138"/>
      <c r="Y207" s="138"/>
      <c r="Z207" s="138"/>
      <c r="AA207" s="138"/>
      <c r="AB207" s="138"/>
      <c r="AC207" s="139"/>
      <c r="AD207" s="137"/>
      <c r="AE207" s="138"/>
      <c r="AF207" s="138"/>
      <c r="AG207" s="138"/>
      <c r="AH207" s="138"/>
      <c r="AI207" s="138"/>
      <c r="AJ207" s="138"/>
      <c r="AK207" s="138"/>
      <c r="AL207" s="139"/>
      <c r="AM207" s="32"/>
    </row>
    <row r="208" spans="2:39" ht="14" customHeight="1">
      <c r="B208" s="34"/>
      <c r="C208" s="34"/>
      <c r="D208" s="34"/>
      <c r="E208" s="34"/>
      <c r="F208" s="34"/>
      <c r="G208" s="34"/>
      <c r="H208" s="34"/>
      <c r="I208" s="34"/>
      <c r="J208" s="34"/>
      <c r="K208" s="34"/>
      <c r="L208" s="150" t="s">
        <v>27</v>
      </c>
      <c r="M208" s="151"/>
      <c r="N208" s="151"/>
      <c r="O208" s="151"/>
      <c r="P208" s="151"/>
      <c r="Q208" s="151"/>
      <c r="R208" s="151"/>
      <c r="S208" s="151"/>
      <c r="T208" s="151"/>
      <c r="U208" s="151"/>
      <c r="V208" s="151"/>
      <c r="W208" s="151"/>
      <c r="X208" s="151"/>
      <c r="Y208" s="151"/>
      <c r="Z208" s="151"/>
      <c r="AA208" s="151"/>
      <c r="AB208" s="151"/>
      <c r="AC208" s="151"/>
      <c r="AD208" s="151"/>
      <c r="AE208" s="151"/>
      <c r="AF208" s="151"/>
      <c r="AG208" s="151"/>
      <c r="AH208" s="151"/>
      <c r="AI208" s="151"/>
      <c r="AJ208" s="151"/>
      <c r="AK208" s="151"/>
      <c r="AL208" s="152"/>
      <c r="AM208" s="32"/>
    </row>
    <row r="209" spans="2:39" ht="14" customHeight="1">
      <c r="B209" s="34"/>
      <c r="C209" s="137"/>
      <c r="D209" s="138"/>
      <c r="E209" s="138"/>
      <c r="F209" s="138"/>
      <c r="G209" s="138"/>
      <c r="H209" s="138"/>
      <c r="I209" s="138"/>
      <c r="J209" s="138"/>
      <c r="K209" s="139"/>
      <c r="L209" s="137"/>
      <c r="M209" s="138"/>
      <c r="N209" s="138"/>
      <c r="O209" s="138"/>
      <c r="P209" s="138"/>
      <c r="Q209" s="138"/>
      <c r="R209" s="138"/>
      <c r="S209" s="138"/>
      <c r="T209" s="139"/>
      <c r="U209" s="137"/>
      <c r="V209" s="138"/>
      <c r="W209" s="138"/>
      <c r="X209" s="138"/>
      <c r="Y209" s="138"/>
      <c r="Z209" s="138"/>
      <c r="AA209" s="138"/>
      <c r="AB209" s="138"/>
      <c r="AC209" s="139"/>
      <c r="AD209" s="137"/>
      <c r="AE209" s="138"/>
      <c r="AF209" s="138"/>
      <c r="AG209" s="138"/>
      <c r="AH209" s="138"/>
      <c r="AI209" s="138"/>
      <c r="AJ209" s="138"/>
      <c r="AK209" s="138"/>
      <c r="AL209" s="139"/>
      <c r="AM209" s="32"/>
    </row>
    <row r="210" spans="2:39" ht="14" customHeight="1">
      <c r="B210" s="34"/>
      <c r="C210" s="137"/>
      <c r="D210" s="138"/>
      <c r="E210" s="138"/>
      <c r="F210" s="138"/>
      <c r="G210" s="138"/>
      <c r="H210" s="138"/>
      <c r="I210" s="138"/>
      <c r="J210" s="138"/>
      <c r="K210" s="139"/>
      <c r="L210" s="137"/>
      <c r="M210" s="138"/>
      <c r="N210" s="138"/>
      <c r="O210" s="138"/>
      <c r="P210" s="138"/>
      <c r="Q210" s="138"/>
      <c r="R210" s="138"/>
      <c r="S210" s="138"/>
      <c r="T210" s="139"/>
      <c r="U210" s="137"/>
      <c r="V210" s="138"/>
      <c r="W210" s="138"/>
      <c r="X210" s="138"/>
      <c r="Y210" s="138"/>
      <c r="Z210" s="138"/>
      <c r="AA210" s="138"/>
      <c r="AB210" s="138"/>
      <c r="AC210" s="139"/>
      <c r="AD210" s="137"/>
      <c r="AE210" s="138"/>
      <c r="AF210" s="138"/>
      <c r="AG210" s="138"/>
      <c r="AH210" s="138"/>
      <c r="AI210" s="138"/>
      <c r="AJ210" s="138"/>
      <c r="AK210" s="138"/>
      <c r="AL210" s="139"/>
      <c r="AM210" s="32"/>
    </row>
    <row r="211" spans="2:39" ht="14" customHeight="1">
      <c r="B211" s="34"/>
      <c r="C211" s="137"/>
      <c r="D211" s="138"/>
      <c r="E211" s="138"/>
      <c r="F211" s="138"/>
      <c r="G211" s="138"/>
      <c r="H211" s="138"/>
      <c r="I211" s="138"/>
      <c r="J211" s="138"/>
      <c r="K211" s="139"/>
      <c r="L211" s="137"/>
      <c r="M211" s="138"/>
      <c r="N211" s="138"/>
      <c r="O211" s="138"/>
      <c r="P211" s="138"/>
      <c r="Q211" s="138"/>
      <c r="R211" s="138"/>
      <c r="S211" s="138"/>
      <c r="T211" s="139"/>
      <c r="U211" s="137"/>
      <c r="V211" s="138"/>
      <c r="W211" s="138"/>
      <c r="X211" s="138"/>
      <c r="Y211" s="138"/>
      <c r="Z211" s="138"/>
      <c r="AA211" s="138"/>
      <c r="AB211" s="138"/>
      <c r="AC211" s="139"/>
      <c r="AD211" s="137"/>
      <c r="AE211" s="138"/>
      <c r="AF211" s="138"/>
      <c r="AG211" s="138"/>
      <c r="AH211" s="138"/>
      <c r="AI211" s="138"/>
      <c r="AJ211" s="138"/>
      <c r="AK211" s="138"/>
      <c r="AL211" s="139"/>
      <c r="AM211" s="32"/>
    </row>
    <row r="212" spans="2:39" ht="14" customHeight="1">
      <c r="B212" s="34"/>
      <c r="C212" s="137"/>
      <c r="D212" s="138"/>
      <c r="E212" s="138"/>
      <c r="F212" s="138"/>
      <c r="G212" s="138"/>
      <c r="H212" s="138"/>
      <c r="I212" s="138"/>
      <c r="J212" s="138"/>
      <c r="K212" s="139"/>
      <c r="L212" s="137"/>
      <c r="M212" s="138"/>
      <c r="N212" s="138"/>
      <c r="O212" s="138"/>
      <c r="P212" s="138"/>
      <c r="Q212" s="138"/>
      <c r="R212" s="138"/>
      <c r="S212" s="138"/>
      <c r="T212" s="139"/>
      <c r="U212" s="137"/>
      <c r="V212" s="138"/>
      <c r="W212" s="138"/>
      <c r="X212" s="138"/>
      <c r="Y212" s="138"/>
      <c r="Z212" s="138"/>
      <c r="AA212" s="138"/>
      <c r="AB212" s="138"/>
      <c r="AC212" s="139"/>
      <c r="AD212" s="137"/>
      <c r="AE212" s="138"/>
      <c r="AF212" s="138"/>
      <c r="AG212" s="138"/>
      <c r="AH212" s="138"/>
      <c r="AI212" s="138"/>
      <c r="AJ212" s="138"/>
      <c r="AK212" s="138"/>
      <c r="AL212" s="139"/>
      <c r="AM212" s="32"/>
    </row>
    <row r="213" spans="2:39" ht="14" customHeight="1">
      <c r="B213" s="34"/>
      <c r="C213" s="137"/>
      <c r="D213" s="138"/>
      <c r="E213" s="138"/>
      <c r="F213" s="138"/>
      <c r="G213" s="138"/>
      <c r="H213" s="138"/>
      <c r="I213" s="138"/>
      <c r="J213" s="138"/>
      <c r="K213" s="139"/>
      <c r="L213" s="137"/>
      <c r="M213" s="138"/>
      <c r="N213" s="138"/>
      <c r="O213" s="138"/>
      <c r="P213" s="138"/>
      <c r="Q213" s="138"/>
      <c r="R213" s="138"/>
      <c r="S213" s="138"/>
      <c r="T213" s="139"/>
      <c r="U213" s="137"/>
      <c r="V213" s="138"/>
      <c r="W213" s="138"/>
      <c r="X213" s="138"/>
      <c r="Y213" s="138"/>
      <c r="Z213" s="138"/>
      <c r="AA213" s="138"/>
      <c r="AB213" s="138"/>
      <c r="AC213" s="139"/>
      <c r="AD213" s="137"/>
      <c r="AE213" s="138"/>
      <c r="AF213" s="138"/>
      <c r="AG213" s="138"/>
      <c r="AH213" s="138"/>
      <c r="AI213" s="138"/>
      <c r="AJ213" s="138"/>
      <c r="AK213" s="138"/>
      <c r="AL213" s="139"/>
      <c r="AM213" s="32"/>
    </row>
    <row r="214" spans="2:39" ht="14" customHeight="1">
      <c r="B214" s="34"/>
      <c r="C214" s="137"/>
      <c r="D214" s="138"/>
      <c r="E214" s="138"/>
      <c r="F214" s="138"/>
      <c r="G214" s="138"/>
      <c r="H214" s="138"/>
      <c r="I214" s="138"/>
      <c r="J214" s="138"/>
      <c r="K214" s="139"/>
      <c r="L214" s="137"/>
      <c r="M214" s="138"/>
      <c r="N214" s="138"/>
      <c r="O214" s="138"/>
      <c r="P214" s="138"/>
      <c r="Q214" s="138"/>
      <c r="R214" s="138"/>
      <c r="S214" s="138"/>
      <c r="T214" s="139"/>
      <c r="U214" s="137"/>
      <c r="V214" s="138"/>
      <c r="W214" s="138"/>
      <c r="X214" s="138"/>
      <c r="Y214" s="138"/>
      <c r="Z214" s="138"/>
      <c r="AA214" s="138"/>
      <c r="AB214" s="138"/>
      <c r="AC214" s="139"/>
      <c r="AD214" s="137"/>
      <c r="AE214" s="138"/>
      <c r="AF214" s="138"/>
      <c r="AG214" s="138"/>
      <c r="AH214" s="138"/>
      <c r="AI214" s="138"/>
      <c r="AJ214" s="138"/>
      <c r="AK214" s="138"/>
      <c r="AL214" s="139"/>
      <c r="AM214" s="32"/>
    </row>
    <row r="215" spans="2:39" ht="14" customHeight="1">
      <c r="B215" s="34"/>
      <c r="C215" s="137"/>
      <c r="D215" s="138"/>
      <c r="E215" s="138"/>
      <c r="F215" s="138"/>
      <c r="G215" s="138"/>
      <c r="H215" s="138"/>
      <c r="I215" s="138"/>
      <c r="J215" s="138"/>
      <c r="K215" s="139"/>
      <c r="L215" s="137"/>
      <c r="M215" s="138"/>
      <c r="N215" s="138"/>
      <c r="O215" s="138"/>
      <c r="P215" s="138"/>
      <c r="Q215" s="138"/>
      <c r="R215" s="138"/>
      <c r="S215" s="138"/>
      <c r="T215" s="139"/>
      <c r="U215" s="137"/>
      <c r="V215" s="138"/>
      <c r="W215" s="138"/>
      <c r="X215" s="138"/>
      <c r="Y215" s="138"/>
      <c r="Z215" s="138"/>
      <c r="AA215" s="138"/>
      <c r="AB215" s="138"/>
      <c r="AC215" s="139"/>
      <c r="AD215" s="137"/>
      <c r="AE215" s="138"/>
      <c r="AF215" s="138"/>
      <c r="AG215" s="138"/>
      <c r="AH215" s="138"/>
      <c r="AI215" s="138"/>
      <c r="AJ215" s="138"/>
      <c r="AK215" s="138"/>
      <c r="AL215" s="139"/>
      <c r="AM215" s="32"/>
    </row>
    <row r="216" spans="2:39" ht="14" customHeight="1">
      <c r="B216" s="34"/>
      <c r="C216" s="137"/>
      <c r="D216" s="138"/>
      <c r="E216" s="138"/>
      <c r="F216" s="138"/>
      <c r="G216" s="138"/>
      <c r="H216" s="138"/>
      <c r="I216" s="138"/>
      <c r="J216" s="138"/>
      <c r="K216" s="139"/>
      <c r="L216" s="137"/>
      <c r="M216" s="138"/>
      <c r="N216" s="138"/>
      <c r="O216" s="138"/>
      <c r="P216" s="138"/>
      <c r="Q216" s="138"/>
      <c r="R216" s="138"/>
      <c r="S216" s="138"/>
      <c r="T216" s="139"/>
      <c r="U216" s="137"/>
      <c r="V216" s="138"/>
      <c r="W216" s="138"/>
      <c r="X216" s="138"/>
      <c r="Y216" s="138"/>
      <c r="Z216" s="138"/>
      <c r="AA216" s="138"/>
      <c r="AB216" s="138"/>
      <c r="AC216" s="139"/>
      <c r="AD216" s="137"/>
      <c r="AE216" s="138"/>
      <c r="AF216" s="138"/>
      <c r="AG216" s="138"/>
      <c r="AH216" s="138"/>
      <c r="AI216" s="138"/>
      <c r="AJ216" s="138"/>
      <c r="AK216" s="138"/>
      <c r="AL216" s="139"/>
      <c r="AM216" s="32"/>
    </row>
    <row r="217" spans="2:39" ht="14" customHeight="1">
      <c r="B217" s="34"/>
      <c r="C217" s="137"/>
      <c r="D217" s="138"/>
      <c r="E217" s="138"/>
      <c r="F217" s="138"/>
      <c r="G217" s="138"/>
      <c r="H217" s="138"/>
      <c r="I217" s="138"/>
      <c r="J217" s="138"/>
      <c r="K217" s="139"/>
      <c r="L217" s="137"/>
      <c r="M217" s="138"/>
      <c r="N217" s="138"/>
      <c r="O217" s="138"/>
      <c r="P217" s="138"/>
      <c r="Q217" s="138"/>
      <c r="R217" s="138"/>
      <c r="S217" s="138"/>
      <c r="T217" s="139"/>
      <c r="U217" s="137"/>
      <c r="V217" s="138"/>
      <c r="W217" s="138"/>
      <c r="X217" s="138"/>
      <c r="Y217" s="138"/>
      <c r="Z217" s="138"/>
      <c r="AA217" s="138"/>
      <c r="AB217" s="138"/>
      <c r="AC217" s="139"/>
      <c r="AD217" s="137"/>
      <c r="AE217" s="138"/>
      <c r="AF217" s="138"/>
      <c r="AG217" s="138"/>
      <c r="AH217" s="138"/>
      <c r="AI217" s="138"/>
      <c r="AJ217" s="138"/>
      <c r="AK217" s="138"/>
      <c r="AL217" s="139"/>
      <c r="AM217" s="32"/>
    </row>
    <row r="218" spans="2:39" ht="14" customHeight="1">
      <c r="B218" s="34"/>
      <c r="C218" s="137"/>
      <c r="D218" s="138"/>
      <c r="E218" s="138"/>
      <c r="F218" s="138"/>
      <c r="G218" s="138"/>
      <c r="H218" s="138"/>
      <c r="I218" s="138"/>
      <c r="J218" s="138"/>
      <c r="K218" s="139"/>
      <c r="L218" s="137"/>
      <c r="M218" s="138"/>
      <c r="N218" s="138"/>
      <c r="O218" s="138"/>
      <c r="P218" s="138"/>
      <c r="Q218" s="138"/>
      <c r="R218" s="138"/>
      <c r="S218" s="138"/>
      <c r="T218" s="139"/>
      <c r="U218" s="137"/>
      <c r="V218" s="138"/>
      <c r="W218" s="138"/>
      <c r="X218" s="138"/>
      <c r="Y218" s="138"/>
      <c r="Z218" s="138"/>
      <c r="AA218" s="138"/>
      <c r="AB218" s="138"/>
      <c r="AC218" s="139"/>
      <c r="AD218" s="137"/>
      <c r="AE218" s="138"/>
      <c r="AF218" s="138"/>
      <c r="AG218" s="138"/>
      <c r="AH218" s="138"/>
      <c r="AI218" s="138"/>
      <c r="AJ218" s="138"/>
      <c r="AK218" s="138"/>
      <c r="AL218" s="139"/>
      <c r="AM218" s="32"/>
    </row>
    <row r="219" spans="2:39" ht="14" customHeight="1">
      <c r="B219" s="34"/>
      <c r="C219" s="137"/>
      <c r="D219" s="138"/>
      <c r="E219" s="138"/>
      <c r="F219" s="138"/>
      <c r="G219" s="138"/>
      <c r="H219" s="138"/>
      <c r="I219" s="138"/>
      <c r="J219" s="138"/>
      <c r="K219" s="139"/>
      <c r="L219" s="137"/>
      <c r="M219" s="138"/>
      <c r="N219" s="138"/>
      <c r="O219" s="138"/>
      <c r="P219" s="138"/>
      <c r="Q219" s="138"/>
      <c r="R219" s="138"/>
      <c r="S219" s="138"/>
      <c r="T219" s="139"/>
      <c r="U219" s="137"/>
      <c r="V219" s="138"/>
      <c r="W219" s="138"/>
      <c r="X219" s="138"/>
      <c r="Y219" s="138"/>
      <c r="Z219" s="138"/>
      <c r="AA219" s="138"/>
      <c r="AB219" s="138"/>
      <c r="AC219" s="139"/>
      <c r="AD219" s="137"/>
      <c r="AE219" s="138"/>
      <c r="AF219" s="138"/>
      <c r="AG219" s="138"/>
      <c r="AH219" s="138"/>
      <c r="AI219" s="138"/>
      <c r="AJ219" s="138"/>
      <c r="AK219" s="138"/>
      <c r="AL219" s="139"/>
      <c r="AM219" s="32"/>
    </row>
    <row r="220" spans="2:39" ht="13">
      <c r="B220" s="32"/>
      <c r="C220" s="47"/>
      <c r="D220" s="32"/>
      <c r="E220" s="48"/>
      <c r="F220" s="48"/>
      <c r="G220" s="48"/>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row>
    <row r="221" spans="2:39" ht="13" customHeight="1">
      <c r="B221" s="32"/>
      <c r="C221" s="208" t="s">
        <v>239</v>
      </c>
      <c r="D221" s="208"/>
      <c r="E221" s="208"/>
      <c r="F221" s="208"/>
      <c r="G221" s="208"/>
      <c r="H221" s="208"/>
      <c r="I221" s="208"/>
      <c r="J221" s="208"/>
      <c r="K221" s="208"/>
      <c r="L221" s="208"/>
      <c r="M221" s="208"/>
      <c r="N221" s="208"/>
      <c r="O221" s="208"/>
      <c r="P221" s="208"/>
      <c r="Q221" s="208"/>
      <c r="R221" s="176"/>
      <c r="S221" s="32"/>
      <c r="T221" s="32"/>
      <c r="U221" s="137"/>
      <c r="V221" s="138"/>
      <c r="W221" s="138"/>
      <c r="X221" s="138"/>
      <c r="Y221" s="138"/>
      <c r="Z221" s="138"/>
      <c r="AA221" s="138"/>
      <c r="AB221" s="138"/>
      <c r="AC221" s="139"/>
      <c r="AD221" s="32"/>
      <c r="AE221" s="32"/>
      <c r="AF221" s="32"/>
      <c r="AG221" s="32"/>
      <c r="AH221" s="32"/>
      <c r="AI221" s="32"/>
      <c r="AJ221" s="32"/>
      <c r="AK221" s="32"/>
      <c r="AL221" s="32"/>
      <c r="AM221" s="32"/>
    </row>
    <row r="222" spans="2:39" ht="5" customHeight="1">
      <c r="B222" s="32"/>
      <c r="C222" s="52"/>
      <c r="D222" s="52"/>
      <c r="E222" s="52"/>
      <c r="F222" s="52"/>
      <c r="G222" s="52"/>
      <c r="H222" s="52"/>
      <c r="I222" s="52"/>
      <c r="J222" s="52"/>
      <c r="K222" s="52"/>
      <c r="L222" s="52"/>
      <c r="M222" s="52"/>
      <c r="N222" s="52"/>
      <c r="O222" s="52"/>
      <c r="P222" s="52"/>
      <c r="Q222" s="52"/>
      <c r="R222" s="52"/>
      <c r="S222" s="32"/>
      <c r="T222" s="32"/>
      <c r="U222" s="52"/>
      <c r="V222" s="52"/>
      <c r="W222" s="52"/>
      <c r="X222" s="52"/>
      <c r="Y222" s="52"/>
      <c r="Z222" s="52"/>
      <c r="AA222" s="52"/>
      <c r="AB222" s="52"/>
      <c r="AC222" s="32"/>
      <c r="AD222" s="32"/>
      <c r="AE222" s="32"/>
      <c r="AF222" s="32"/>
      <c r="AG222" s="32"/>
      <c r="AH222" s="32"/>
      <c r="AI222" s="32"/>
      <c r="AJ222" s="32"/>
      <c r="AK222" s="32"/>
      <c r="AL222" s="32"/>
      <c r="AM222" s="32"/>
    </row>
    <row r="223" spans="2:39" ht="13" customHeight="1">
      <c r="B223" s="32"/>
      <c r="C223" s="208" t="s">
        <v>240</v>
      </c>
      <c r="D223" s="208"/>
      <c r="E223" s="208"/>
      <c r="F223" s="208"/>
      <c r="G223" s="208"/>
      <c r="H223" s="208"/>
      <c r="I223" s="208"/>
      <c r="J223" s="208"/>
      <c r="K223" s="208"/>
      <c r="L223" s="208"/>
      <c r="M223" s="208"/>
      <c r="N223" s="208"/>
      <c r="O223" s="208"/>
      <c r="P223" s="208"/>
      <c r="Q223" s="208"/>
      <c r="R223" s="56"/>
      <c r="S223" s="32"/>
      <c r="T223" s="32"/>
      <c r="U223" s="137"/>
      <c r="V223" s="138"/>
      <c r="W223" s="138"/>
      <c r="X223" s="138"/>
      <c r="Y223" s="138"/>
      <c r="Z223" s="138"/>
      <c r="AA223" s="138"/>
      <c r="AB223" s="138"/>
      <c r="AC223" s="139"/>
      <c r="AD223" s="32"/>
      <c r="AE223" s="32"/>
      <c r="AF223" s="32"/>
      <c r="AG223" s="32"/>
      <c r="AH223" s="32"/>
      <c r="AI223" s="32"/>
      <c r="AJ223" s="32"/>
      <c r="AK223" s="32"/>
      <c r="AL223" s="32"/>
      <c r="AM223" s="32"/>
    </row>
    <row r="224" spans="2:39" ht="13">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row>
    <row r="225" spans="2:39" ht="2.25" customHeight="1"/>
    <row r="226" spans="2:39" ht="14" customHeight="1">
      <c r="B226" s="54" t="s">
        <v>653</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spans="2:39" ht="5" customHeight="1">
      <c r="B227" s="55"/>
      <c r="C227" s="4"/>
      <c r="D227" s="4"/>
      <c r="E227" s="4"/>
      <c r="F227" s="4"/>
      <c r="G227" s="4"/>
    </row>
    <row r="228" spans="2:39" ht="13">
      <c r="B228" s="32"/>
      <c r="C228" s="50"/>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row>
    <row r="229" spans="2:39" ht="13">
      <c r="B229" s="32"/>
      <c r="C229" s="120" t="s">
        <v>656</v>
      </c>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c r="AH229" s="120"/>
      <c r="AI229" s="120"/>
      <c r="AJ229" s="120"/>
      <c r="AK229" s="120"/>
      <c r="AL229" s="120"/>
      <c r="AM229" s="32"/>
    </row>
    <row r="230" spans="2:39" ht="13">
      <c r="B230" s="32"/>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c r="AG230" s="120"/>
      <c r="AH230" s="120"/>
      <c r="AI230" s="120"/>
      <c r="AJ230" s="120"/>
      <c r="AK230" s="120"/>
      <c r="AL230" s="120"/>
      <c r="AM230" s="32"/>
    </row>
    <row r="231" spans="2:39" ht="13">
      <c r="B231" s="32"/>
      <c r="C231" s="50"/>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row>
    <row r="232" spans="2:39" ht="14" customHeight="1">
      <c r="B232" s="32"/>
      <c r="C232" s="143" t="s">
        <v>220</v>
      </c>
      <c r="D232" s="144"/>
      <c r="E232" s="144"/>
      <c r="F232" s="144"/>
      <c r="G232" s="144"/>
      <c r="H232" s="144"/>
      <c r="I232" s="144"/>
      <c r="J232" s="144"/>
      <c r="K232" s="145"/>
      <c r="L232" s="143" t="s">
        <v>292</v>
      </c>
      <c r="M232" s="144"/>
      <c r="N232" s="144"/>
      <c r="O232" s="144"/>
      <c r="P232" s="144"/>
      <c r="Q232" s="144"/>
      <c r="R232" s="144"/>
      <c r="S232" s="144"/>
      <c r="T232" s="145"/>
      <c r="U232" s="140" t="s">
        <v>654</v>
      </c>
      <c r="V232" s="141"/>
      <c r="W232" s="141"/>
      <c r="X232" s="141"/>
      <c r="Y232" s="141"/>
      <c r="Z232" s="141"/>
      <c r="AA232" s="141"/>
      <c r="AB232" s="141"/>
      <c r="AC232" s="142"/>
      <c r="AD232" s="140" t="s">
        <v>655</v>
      </c>
      <c r="AE232" s="141"/>
      <c r="AF232" s="141"/>
      <c r="AG232" s="141"/>
      <c r="AH232" s="141"/>
      <c r="AI232" s="141"/>
      <c r="AJ232" s="141"/>
      <c r="AK232" s="141"/>
      <c r="AL232" s="142"/>
      <c r="AM232" s="32"/>
    </row>
    <row r="233" spans="2:39" ht="13">
      <c r="B233" s="112"/>
      <c r="C233" s="137"/>
      <c r="D233" s="138"/>
      <c r="E233" s="138"/>
      <c r="F233" s="138"/>
      <c r="G233" s="138"/>
      <c r="H233" s="138"/>
      <c r="I233" s="138"/>
      <c r="J233" s="138"/>
      <c r="K233" s="139"/>
      <c r="L233" s="134" t="b">
        <v>0</v>
      </c>
      <c r="M233" s="135"/>
      <c r="N233" s="135"/>
      <c r="O233" s="135"/>
      <c r="P233" s="135"/>
      <c r="Q233" s="135"/>
      <c r="R233" s="135"/>
      <c r="S233" s="135"/>
      <c r="T233" s="136"/>
      <c r="U233" s="134" t="b">
        <v>0</v>
      </c>
      <c r="V233" s="135"/>
      <c r="W233" s="135"/>
      <c r="X233" s="135"/>
      <c r="Y233" s="135"/>
      <c r="Z233" s="135"/>
      <c r="AA233" s="135"/>
      <c r="AB233" s="135"/>
      <c r="AC233" s="136"/>
      <c r="AD233" s="134" t="b">
        <v>0</v>
      </c>
      <c r="AE233" s="135"/>
      <c r="AF233" s="135"/>
      <c r="AG233" s="135"/>
      <c r="AH233" s="135"/>
      <c r="AI233" s="135"/>
      <c r="AJ233" s="135"/>
      <c r="AK233" s="135"/>
      <c r="AL233" s="136"/>
      <c r="AM233" s="32"/>
    </row>
    <row r="234" spans="2:39" ht="13">
      <c r="B234" s="112"/>
      <c r="C234" s="109"/>
      <c r="D234" s="110"/>
      <c r="E234" s="110"/>
      <c r="F234" s="110"/>
      <c r="G234" s="110"/>
      <c r="H234" s="110"/>
      <c r="I234" s="110"/>
      <c r="J234" s="110"/>
      <c r="K234" s="111"/>
      <c r="L234" s="134" t="b">
        <v>0</v>
      </c>
      <c r="M234" s="135" t="b">
        <v>0</v>
      </c>
      <c r="N234" s="135" t="b">
        <v>0</v>
      </c>
      <c r="O234" s="135" t="b">
        <v>0</v>
      </c>
      <c r="P234" s="135" t="b">
        <v>0</v>
      </c>
      <c r="Q234" s="135" t="b">
        <v>0</v>
      </c>
      <c r="R234" s="135" t="b">
        <v>0</v>
      </c>
      <c r="S234" s="135" t="b">
        <v>0</v>
      </c>
      <c r="T234" s="136" t="b">
        <v>0</v>
      </c>
      <c r="U234" s="134" t="b">
        <v>0</v>
      </c>
      <c r="V234" s="135" t="b">
        <v>0</v>
      </c>
      <c r="W234" s="135" t="b">
        <v>0</v>
      </c>
      <c r="X234" s="135" t="b">
        <v>0</v>
      </c>
      <c r="Y234" s="135" t="b">
        <v>0</v>
      </c>
      <c r="Z234" s="135" t="b">
        <v>0</v>
      </c>
      <c r="AA234" s="135" t="b">
        <v>0</v>
      </c>
      <c r="AB234" s="135" t="b">
        <v>0</v>
      </c>
      <c r="AC234" s="136" t="b">
        <v>0</v>
      </c>
      <c r="AD234" s="134" t="b">
        <v>0</v>
      </c>
      <c r="AE234" s="135" t="b">
        <v>0</v>
      </c>
      <c r="AF234" s="135" t="b">
        <v>0</v>
      </c>
      <c r="AG234" s="135" t="b">
        <v>0</v>
      </c>
      <c r="AH234" s="135" t="b">
        <v>0</v>
      </c>
      <c r="AI234" s="135" t="b">
        <v>0</v>
      </c>
      <c r="AJ234" s="135" t="b">
        <v>0</v>
      </c>
      <c r="AK234" s="135" t="b">
        <v>0</v>
      </c>
      <c r="AL234" s="136" t="b">
        <v>0</v>
      </c>
      <c r="AM234" s="32"/>
    </row>
    <row r="235" spans="2:39" ht="13">
      <c r="B235" s="112"/>
      <c r="C235" s="109"/>
      <c r="D235" s="110"/>
      <c r="E235" s="110"/>
      <c r="F235" s="110"/>
      <c r="G235" s="110"/>
      <c r="H235" s="110"/>
      <c r="I235" s="110"/>
      <c r="J235" s="110"/>
      <c r="K235" s="111"/>
      <c r="L235" s="134" t="b">
        <v>0</v>
      </c>
      <c r="M235" s="135" t="b">
        <v>0</v>
      </c>
      <c r="N235" s="135" t="b">
        <v>0</v>
      </c>
      <c r="O235" s="135" t="b">
        <v>0</v>
      </c>
      <c r="P235" s="135" t="b">
        <v>0</v>
      </c>
      <c r="Q235" s="135" t="b">
        <v>0</v>
      </c>
      <c r="R235" s="135" t="b">
        <v>0</v>
      </c>
      <c r="S235" s="135" t="b">
        <v>0</v>
      </c>
      <c r="T235" s="136" t="b">
        <v>0</v>
      </c>
      <c r="U235" s="134" t="b">
        <v>0</v>
      </c>
      <c r="V235" s="135" t="b">
        <v>0</v>
      </c>
      <c r="W235" s="135" t="b">
        <v>0</v>
      </c>
      <c r="X235" s="135" t="b">
        <v>0</v>
      </c>
      <c r="Y235" s="135" t="b">
        <v>0</v>
      </c>
      <c r="Z235" s="135" t="b">
        <v>0</v>
      </c>
      <c r="AA235" s="135" t="b">
        <v>0</v>
      </c>
      <c r="AB235" s="135" t="b">
        <v>0</v>
      </c>
      <c r="AC235" s="136" t="b">
        <v>0</v>
      </c>
      <c r="AD235" s="134" t="b">
        <v>0</v>
      </c>
      <c r="AE235" s="135" t="b">
        <v>0</v>
      </c>
      <c r="AF235" s="135" t="b">
        <v>0</v>
      </c>
      <c r="AG235" s="135" t="b">
        <v>0</v>
      </c>
      <c r="AH235" s="135" t="b">
        <v>0</v>
      </c>
      <c r="AI235" s="135" t="b">
        <v>0</v>
      </c>
      <c r="AJ235" s="135" t="b">
        <v>0</v>
      </c>
      <c r="AK235" s="135" t="b">
        <v>0</v>
      </c>
      <c r="AL235" s="136" t="b">
        <v>0</v>
      </c>
      <c r="AM235" s="32"/>
    </row>
    <row r="236" spans="2:39" ht="13">
      <c r="B236" s="112"/>
      <c r="C236" s="109"/>
      <c r="D236" s="110"/>
      <c r="E236" s="110"/>
      <c r="F236" s="110"/>
      <c r="G236" s="110"/>
      <c r="H236" s="110"/>
      <c r="I236" s="110"/>
      <c r="J236" s="110"/>
      <c r="K236" s="111"/>
      <c r="L236" s="134" t="b">
        <v>0</v>
      </c>
      <c r="M236" s="135" t="b">
        <v>0</v>
      </c>
      <c r="N236" s="135" t="b">
        <v>0</v>
      </c>
      <c r="O236" s="135" t="b">
        <v>0</v>
      </c>
      <c r="P236" s="135" t="b">
        <v>0</v>
      </c>
      <c r="Q236" s="135" t="b">
        <v>0</v>
      </c>
      <c r="R236" s="135" t="b">
        <v>0</v>
      </c>
      <c r="S236" s="135" t="b">
        <v>0</v>
      </c>
      <c r="T236" s="136" t="b">
        <v>0</v>
      </c>
      <c r="U236" s="134" t="b">
        <v>0</v>
      </c>
      <c r="V236" s="135" t="b">
        <v>0</v>
      </c>
      <c r="W236" s="135" t="b">
        <v>0</v>
      </c>
      <c r="X236" s="135" t="b">
        <v>0</v>
      </c>
      <c r="Y236" s="135" t="b">
        <v>0</v>
      </c>
      <c r="Z236" s="135" t="b">
        <v>0</v>
      </c>
      <c r="AA236" s="135" t="b">
        <v>0</v>
      </c>
      <c r="AB236" s="135" t="b">
        <v>0</v>
      </c>
      <c r="AC236" s="136" t="b">
        <v>0</v>
      </c>
      <c r="AD236" s="134" t="b">
        <v>0</v>
      </c>
      <c r="AE236" s="135" t="b">
        <v>0</v>
      </c>
      <c r="AF236" s="135" t="b">
        <v>0</v>
      </c>
      <c r="AG236" s="135" t="b">
        <v>0</v>
      </c>
      <c r="AH236" s="135" t="b">
        <v>0</v>
      </c>
      <c r="AI236" s="135" t="b">
        <v>0</v>
      </c>
      <c r="AJ236" s="135" t="b">
        <v>0</v>
      </c>
      <c r="AK236" s="135" t="b">
        <v>0</v>
      </c>
      <c r="AL236" s="136" t="b">
        <v>0</v>
      </c>
      <c r="AM236" s="32"/>
    </row>
    <row r="237" spans="2:39" ht="13">
      <c r="B237" s="112"/>
      <c r="C237" s="137"/>
      <c r="D237" s="138"/>
      <c r="E237" s="138"/>
      <c r="F237" s="138"/>
      <c r="G237" s="138"/>
      <c r="H237" s="138"/>
      <c r="I237" s="138"/>
      <c r="J237" s="138"/>
      <c r="K237" s="139"/>
      <c r="L237" s="134" t="b">
        <v>0</v>
      </c>
      <c r="M237" s="135"/>
      <c r="N237" s="135"/>
      <c r="O237" s="135"/>
      <c r="P237" s="135"/>
      <c r="Q237" s="135"/>
      <c r="R237" s="135"/>
      <c r="S237" s="135"/>
      <c r="T237" s="136"/>
      <c r="U237" s="134" t="b">
        <v>0</v>
      </c>
      <c r="V237" s="135"/>
      <c r="W237" s="135"/>
      <c r="X237" s="135"/>
      <c r="Y237" s="135"/>
      <c r="Z237" s="135"/>
      <c r="AA237" s="135"/>
      <c r="AB237" s="135"/>
      <c r="AC237" s="136"/>
      <c r="AD237" s="134" t="b">
        <v>0</v>
      </c>
      <c r="AE237" s="135"/>
      <c r="AF237" s="135"/>
      <c r="AG237" s="135"/>
      <c r="AH237" s="135"/>
      <c r="AI237" s="135"/>
      <c r="AJ237" s="135"/>
      <c r="AK237" s="135"/>
      <c r="AL237" s="136"/>
      <c r="AM237" s="32"/>
    </row>
    <row r="238" spans="2:39" ht="13">
      <c r="B238" s="112"/>
      <c r="C238" s="137"/>
      <c r="D238" s="138"/>
      <c r="E238" s="138"/>
      <c r="F238" s="138"/>
      <c r="G238" s="138"/>
      <c r="H238" s="138"/>
      <c r="I238" s="138"/>
      <c r="J238" s="138"/>
      <c r="K238" s="139"/>
      <c r="L238" s="134" t="b">
        <v>0</v>
      </c>
      <c r="M238" s="135"/>
      <c r="N238" s="135"/>
      <c r="O238" s="135"/>
      <c r="P238" s="135"/>
      <c r="Q238" s="135"/>
      <c r="R238" s="135"/>
      <c r="S238" s="135"/>
      <c r="T238" s="136"/>
      <c r="U238" s="134" t="b">
        <v>0</v>
      </c>
      <c r="V238" s="135"/>
      <c r="W238" s="135"/>
      <c r="X238" s="135"/>
      <c r="Y238" s="135"/>
      <c r="Z238" s="135"/>
      <c r="AA238" s="135"/>
      <c r="AB238" s="135"/>
      <c r="AC238" s="136"/>
      <c r="AD238" s="134" t="b">
        <v>0</v>
      </c>
      <c r="AE238" s="135"/>
      <c r="AF238" s="135"/>
      <c r="AG238" s="135"/>
      <c r="AH238" s="135"/>
      <c r="AI238" s="135"/>
      <c r="AJ238" s="135"/>
      <c r="AK238" s="135"/>
      <c r="AL238" s="136"/>
      <c r="AM238" s="32"/>
    </row>
    <row r="239" spans="2:39" ht="13">
      <c r="B239" s="112"/>
      <c r="C239" s="137"/>
      <c r="D239" s="138"/>
      <c r="E239" s="138"/>
      <c r="F239" s="138"/>
      <c r="G239" s="138"/>
      <c r="H239" s="138"/>
      <c r="I239" s="138"/>
      <c r="J239" s="138"/>
      <c r="K239" s="139"/>
      <c r="L239" s="134" t="b">
        <v>0</v>
      </c>
      <c r="M239" s="135"/>
      <c r="N239" s="135"/>
      <c r="O239" s="135"/>
      <c r="P239" s="135"/>
      <c r="Q239" s="135"/>
      <c r="R239" s="135"/>
      <c r="S239" s="135"/>
      <c r="T239" s="136"/>
      <c r="U239" s="134" t="b">
        <v>0</v>
      </c>
      <c r="V239" s="135"/>
      <c r="W239" s="135"/>
      <c r="X239" s="135"/>
      <c r="Y239" s="135"/>
      <c r="Z239" s="135"/>
      <c r="AA239" s="135"/>
      <c r="AB239" s="135"/>
      <c r="AC239" s="136"/>
      <c r="AD239" s="134" t="b">
        <v>0</v>
      </c>
      <c r="AE239" s="135"/>
      <c r="AF239" s="135"/>
      <c r="AG239" s="135"/>
      <c r="AH239" s="135"/>
      <c r="AI239" s="135"/>
      <c r="AJ239" s="135"/>
      <c r="AK239" s="135"/>
      <c r="AL239" s="136"/>
      <c r="AM239" s="32"/>
    </row>
    <row r="240" spans="2:39" ht="13">
      <c r="B240" s="112"/>
      <c r="C240" s="137"/>
      <c r="D240" s="138"/>
      <c r="E240" s="138"/>
      <c r="F240" s="138"/>
      <c r="G240" s="138"/>
      <c r="H240" s="138"/>
      <c r="I240" s="138"/>
      <c r="J240" s="138"/>
      <c r="K240" s="139"/>
      <c r="L240" s="134" t="b">
        <v>0</v>
      </c>
      <c r="M240" s="135"/>
      <c r="N240" s="135"/>
      <c r="O240" s="135"/>
      <c r="P240" s="135"/>
      <c r="Q240" s="135"/>
      <c r="R240" s="135"/>
      <c r="S240" s="135"/>
      <c r="T240" s="136"/>
      <c r="U240" s="134" t="b">
        <v>0</v>
      </c>
      <c r="V240" s="135"/>
      <c r="W240" s="135"/>
      <c r="X240" s="135"/>
      <c r="Y240" s="135"/>
      <c r="Z240" s="135"/>
      <c r="AA240" s="135"/>
      <c r="AB240" s="135"/>
      <c r="AC240" s="136"/>
      <c r="AD240" s="134" t="b">
        <v>0</v>
      </c>
      <c r="AE240" s="135"/>
      <c r="AF240" s="135"/>
      <c r="AG240" s="135"/>
      <c r="AH240" s="135"/>
      <c r="AI240" s="135"/>
      <c r="AJ240" s="135"/>
      <c r="AK240" s="135"/>
      <c r="AL240" s="136"/>
      <c r="AM240" s="32"/>
    </row>
    <row r="241" spans="2:76" ht="13">
      <c r="B241" s="112"/>
      <c r="C241" s="137"/>
      <c r="D241" s="138"/>
      <c r="E241" s="138"/>
      <c r="F241" s="138"/>
      <c r="G241" s="138"/>
      <c r="H241" s="138"/>
      <c r="I241" s="138"/>
      <c r="J241" s="138"/>
      <c r="K241" s="139"/>
      <c r="L241" s="134" t="b">
        <v>0</v>
      </c>
      <c r="M241" s="135"/>
      <c r="N241" s="135"/>
      <c r="O241" s="135"/>
      <c r="P241" s="135"/>
      <c r="Q241" s="135"/>
      <c r="R241" s="135"/>
      <c r="S241" s="135"/>
      <c r="T241" s="136"/>
      <c r="U241" s="134" t="b">
        <v>0</v>
      </c>
      <c r="V241" s="135"/>
      <c r="W241" s="135"/>
      <c r="X241" s="135"/>
      <c r="Y241" s="135"/>
      <c r="Z241" s="135"/>
      <c r="AA241" s="135"/>
      <c r="AB241" s="135"/>
      <c r="AC241" s="136"/>
      <c r="AD241" s="134" t="b">
        <v>0</v>
      </c>
      <c r="AE241" s="135"/>
      <c r="AF241" s="135"/>
      <c r="AG241" s="135"/>
      <c r="AH241" s="135"/>
      <c r="AI241" s="135"/>
      <c r="AJ241" s="135"/>
      <c r="AK241" s="135"/>
      <c r="AL241" s="136"/>
      <c r="AM241" s="32"/>
    </row>
    <row r="242" spans="2:76" ht="13">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row>
    <row r="243" spans="2:76" ht="13">
      <c r="BV243" s="108"/>
      <c r="BX243" s="1"/>
    </row>
    <row r="244" spans="2:76" ht="14" customHeight="1">
      <c r="B244" s="54" t="s">
        <v>690</v>
      </c>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BV244" s="108"/>
      <c r="BX244" s="1"/>
    </row>
    <row r="245" spans="2:76" ht="5" customHeight="1">
      <c r="B245" s="55"/>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BV245" s="108"/>
      <c r="BX245" s="1"/>
    </row>
    <row r="246" spans="2:76" ht="13">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BV246" s="108"/>
      <c r="BX246" s="1"/>
    </row>
    <row r="247" spans="2:76" ht="13">
      <c r="B247" s="32"/>
      <c r="C247" s="35"/>
      <c r="D247" s="35"/>
      <c r="E247" s="161"/>
      <c r="F247" s="161"/>
      <c r="G247" s="36"/>
      <c r="H247" s="32"/>
      <c r="I247" s="153" t="s">
        <v>691</v>
      </c>
      <c r="J247" s="153"/>
      <c r="K247" s="153"/>
      <c r="L247" s="153"/>
      <c r="M247" s="153"/>
      <c r="N247" s="153"/>
      <c r="O247" s="153" t="s">
        <v>274</v>
      </c>
      <c r="P247" s="153"/>
      <c r="Q247" s="153"/>
      <c r="R247" s="153"/>
      <c r="S247" s="153"/>
      <c r="T247" s="153"/>
      <c r="U247" s="153" t="s">
        <v>232</v>
      </c>
      <c r="V247" s="153"/>
      <c r="W247" s="153"/>
      <c r="X247" s="153"/>
      <c r="Y247" s="153"/>
      <c r="Z247" s="153"/>
      <c r="AA247" s="153" t="s">
        <v>692</v>
      </c>
      <c r="AB247" s="153"/>
      <c r="AC247" s="153"/>
      <c r="AD247" s="153"/>
      <c r="AE247" s="153"/>
      <c r="AF247" s="153"/>
      <c r="AG247" s="153" t="s">
        <v>693</v>
      </c>
      <c r="AH247" s="153"/>
      <c r="AI247" s="153"/>
      <c r="AJ247" s="153"/>
      <c r="AK247" s="153"/>
      <c r="AL247" s="153"/>
      <c r="AM247" s="32"/>
      <c r="BV247" s="108"/>
      <c r="BX247" s="1"/>
    </row>
    <row r="248" spans="2:76" ht="13">
      <c r="B248" s="32"/>
      <c r="C248" s="146" t="s">
        <v>698</v>
      </c>
      <c r="D248" s="146"/>
      <c r="E248" s="146"/>
      <c r="F248" s="146"/>
      <c r="G248" s="146"/>
      <c r="H248" s="146"/>
      <c r="I248" s="147"/>
      <c r="J248" s="147"/>
      <c r="K248" s="147"/>
      <c r="L248" s="147"/>
      <c r="M248" s="147"/>
      <c r="N248" s="147"/>
      <c r="O248" s="147"/>
      <c r="P248" s="147"/>
      <c r="Q248" s="147"/>
      <c r="R248" s="147"/>
      <c r="S248" s="147"/>
      <c r="T248" s="147"/>
      <c r="U248" s="147"/>
      <c r="V248" s="147"/>
      <c r="W248" s="147"/>
      <c r="X248" s="147"/>
      <c r="Y248" s="147"/>
      <c r="Z248" s="147"/>
      <c r="AA248" s="147"/>
      <c r="AB248" s="147"/>
      <c r="AC248" s="147"/>
      <c r="AD248" s="147"/>
      <c r="AE248" s="147"/>
      <c r="AF248" s="147"/>
      <c r="AG248" s="147"/>
      <c r="AH248" s="147"/>
      <c r="AI248" s="147"/>
      <c r="AJ248" s="147"/>
      <c r="AK248" s="147"/>
      <c r="AL248" s="147"/>
      <c r="AM248" s="32"/>
      <c r="BV248" s="108"/>
      <c r="BX248" s="1"/>
    </row>
    <row r="249" spans="2:76" ht="15" customHeight="1">
      <c r="B249" s="32"/>
      <c r="C249" s="146" t="s">
        <v>699</v>
      </c>
      <c r="D249" s="146"/>
      <c r="E249" s="146"/>
      <c r="F249" s="146"/>
      <c r="G249" s="146"/>
      <c r="H249" s="146"/>
      <c r="I249" s="147"/>
      <c r="J249" s="147"/>
      <c r="K249" s="147"/>
      <c r="L249" s="147"/>
      <c r="M249" s="147"/>
      <c r="N249" s="147"/>
      <c r="O249" s="147"/>
      <c r="P249" s="147"/>
      <c r="Q249" s="147"/>
      <c r="R249" s="147"/>
      <c r="S249" s="147"/>
      <c r="T249" s="147"/>
      <c r="U249" s="147"/>
      <c r="V249" s="147"/>
      <c r="W249" s="147"/>
      <c r="X249" s="147"/>
      <c r="Y249" s="147"/>
      <c r="Z249" s="147"/>
      <c r="AA249" s="147"/>
      <c r="AB249" s="147"/>
      <c r="AC249" s="147"/>
      <c r="AD249" s="147"/>
      <c r="AE249" s="147"/>
      <c r="AF249" s="147"/>
      <c r="AG249" s="147"/>
      <c r="AH249" s="147"/>
      <c r="AI249" s="147"/>
      <c r="AJ249" s="147"/>
      <c r="AK249" s="147"/>
      <c r="AL249" s="147"/>
      <c r="AM249" s="32"/>
      <c r="BV249" s="108"/>
      <c r="BX249" s="1"/>
    </row>
    <row r="250" spans="2:76" ht="13">
      <c r="B250" s="32"/>
      <c r="C250" s="146" t="s">
        <v>700</v>
      </c>
      <c r="D250" s="146"/>
      <c r="E250" s="146"/>
      <c r="F250" s="146"/>
      <c r="G250" s="146"/>
      <c r="H250" s="146"/>
      <c r="I250" s="147"/>
      <c r="J250" s="147"/>
      <c r="K250" s="147"/>
      <c r="L250" s="147"/>
      <c r="M250" s="147"/>
      <c r="N250" s="147"/>
      <c r="O250" s="147"/>
      <c r="P250" s="147"/>
      <c r="Q250" s="147"/>
      <c r="R250" s="147"/>
      <c r="S250" s="147"/>
      <c r="T250" s="147"/>
      <c r="U250" s="147"/>
      <c r="V250" s="147"/>
      <c r="W250" s="147"/>
      <c r="X250" s="147"/>
      <c r="Y250" s="147"/>
      <c r="Z250" s="147"/>
      <c r="AA250" s="147"/>
      <c r="AB250" s="147"/>
      <c r="AC250" s="147"/>
      <c r="AD250" s="147"/>
      <c r="AE250" s="147"/>
      <c r="AF250" s="147"/>
      <c r="AG250" s="147"/>
      <c r="AH250" s="147"/>
      <c r="AI250" s="147"/>
      <c r="AJ250" s="147"/>
      <c r="AK250" s="147"/>
      <c r="AL250" s="147"/>
      <c r="AM250" s="32"/>
      <c r="BV250" s="108"/>
      <c r="BX250" s="1"/>
    </row>
    <row r="251" spans="2:76" ht="13">
      <c r="B251" s="32"/>
      <c r="C251" s="146" t="s">
        <v>701</v>
      </c>
      <c r="D251" s="146"/>
      <c r="E251" s="146"/>
      <c r="F251" s="146"/>
      <c r="G251" s="146"/>
      <c r="H251" s="146"/>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32"/>
      <c r="BV251" s="108"/>
      <c r="BX251" s="1"/>
    </row>
    <row r="252" spans="2:76" ht="13">
      <c r="B252" s="32"/>
      <c r="C252" s="146" t="s">
        <v>696</v>
      </c>
      <c r="D252" s="146"/>
      <c r="E252" s="146"/>
      <c r="F252" s="146"/>
      <c r="G252" s="146"/>
      <c r="H252" s="146"/>
      <c r="I252" s="147"/>
      <c r="J252" s="147"/>
      <c r="K252" s="147"/>
      <c r="L252" s="147"/>
      <c r="M252" s="147"/>
      <c r="N252" s="147"/>
      <c r="O252" s="147"/>
      <c r="P252" s="147"/>
      <c r="Q252" s="147"/>
      <c r="R252" s="147"/>
      <c r="S252" s="147"/>
      <c r="T252" s="147"/>
      <c r="U252" s="147"/>
      <c r="V252" s="147"/>
      <c r="W252" s="147"/>
      <c r="X252" s="147"/>
      <c r="Y252" s="147"/>
      <c r="Z252" s="147"/>
      <c r="AA252" s="147"/>
      <c r="AB252" s="147"/>
      <c r="AC252" s="147"/>
      <c r="AD252" s="147"/>
      <c r="AE252" s="147"/>
      <c r="AF252" s="147"/>
      <c r="AG252" s="147"/>
      <c r="AH252" s="147"/>
      <c r="AI252" s="147"/>
      <c r="AJ252" s="147"/>
      <c r="AK252" s="147"/>
      <c r="AL252" s="147"/>
      <c r="AM252" s="32"/>
      <c r="BV252" s="108"/>
      <c r="BX252" s="1"/>
    </row>
    <row r="253" spans="2:76" ht="13">
      <c r="B253" s="32"/>
      <c r="C253" s="146" t="s">
        <v>695</v>
      </c>
      <c r="D253" s="146"/>
      <c r="E253" s="146"/>
      <c r="F253" s="146"/>
      <c r="G253" s="146"/>
      <c r="H253" s="146"/>
      <c r="I253" s="147"/>
      <c r="J253" s="147"/>
      <c r="K253" s="147"/>
      <c r="L253" s="147"/>
      <c r="M253" s="147"/>
      <c r="N253" s="147"/>
      <c r="O253" s="147"/>
      <c r="P253" s="147"/>
      <c r="Q253" s="147"/>
      <c r="R253" s="147"/>
      <c r="S253" s="147"/>
      <c r="T253" s="147"/>
      <c r="U253" s="147"/>
      <c r="V253" s="147"/>
      <c r="W253" s="147"/>
      <c r="X253" s="147"/>
      <c r="Y253" s="147"/>
      <c r="Z253" s="147"/>
      <c r="AA253" s="147"/>
      <c r="AB253" s="147"/>
      <c r="AC253" s="147"/>
      <c r="AD253" s="147"/>
      <c r="AE253" s="147"/>
      <c r="AF253" s="147"/>
      <c r="AG253" s="147"/>
      <c r="AH253" s="147"/>
      <c r="AI253" s="147"/>
      <c r="AJ253" s="147"/>
      <c r="AK253" s="147"/>
      <c r="AL253" s="147"/>
      <c r="AM253" s="32"/>
      <c r="BV253" s="108"/>
      <c r="BX253" s="1"/>
    </row>
    <row r="254" spans="2:76" ht="13">
      <c r="B254" s="32"/>
      <c r="C254" s="146" t="s">
        <v>694</v>
      </c>
      <c r="D254" s="146"/>
      <c r="E254" s="146"/>
      <c r="F254" s="146"/>
      <c r="G254" s="146"/>
      <c r="H254" s="146"/>
      <c r="I254" s="147"/>
      <c r="J254" s="147"/>
      <c r="K254" s="147"/>
      <c r="L254" s="147"/>
      <c r="M254" s="147"/>
      <c r="N254" s="147"/>
      <c r="O254" s="147"/>
      <c r="P254" s="147"/>
      <c r="Q254" s="147"/>
      <c r="R254" s="147"/>
      <c r="S254" s="147"/>
      <c r="T254" s="147"/>
      <c r="U254" s="147"/>
      <c r="V254" s="147"/>
      <c r="W254" s="147"/>
      <c r="X254" s="147"/>
      <c r="Y254" s="147"/>
      <c r="Z254" s="147"/>
      <c r="AA254" s="147"/>
      <c r="AB254" s="147"/>
      <c r="AC254" s="147"/>
      <c r="AD254" s="147"/>
      <c r="AE254" s="147"/>
      <c r="AF254" s="147"/>
      <c r="AG254" s="147"/>
      <c r="AH254" s="147"/>
      <c r="AI254" s="147"/>
      <c r="AJ254" s="147"/>
      <c r="AK254" s="147"/>
      <c r="AL254" s="147"/>
      <c r="AM254" s="32"/>
      <c r="BV254" s="108"/>
      <c r="BX254" s="1"/>
    </row>
    <row r="255" spans="2:76" ht="15" customHeight="1">
      <c r="B255" s="32"/>
      <c r="C255" s="146" t="s">
        <v>702</v>
      </c>
      <c r="D255" s="146"/>
      <c r="E255" s="146"/>
      <c r="F255" s="146"/>
      <c r="G255" s="146"/>
      <c r="H255" s="146"/>
      <c r="I255" s="147"/>
      <c r="J255" s="147"/>
      <c r="K255" s="147"/>
      <c r="L255" s="147"/>
      <c r="M255" s="147"/>
      <c r="N255" s="147"/>
      <c r="O255" s="147"/>
      <c r="P255" s="147"/>
      <c r="Q255" s="147"/>
      <c r="R255" s="147"/>
      <c r="S255" s="147"/>
      <c r="T255" s="147"/>
      <c r="U255" s="147"/>
      <c r="V255" s="147"/>
      <c r="W255" s="147"/>
      <c r="X255" s="147"/>
      <c r="Y255" s="147"/>
      <c r="Z255" s="147"/>
      <c r="AA255" s="147"/>
      <c r="AB255" s="147"/>
      <c r="AC255" s="147"/>
      <c r="AD255" s="147"/>
      <c r="AE255" s="147"/>
      <c r="AF255" s="147"/>
      <c r="AG255" s="147"/>
      <c r="AH255" s="147"/>
      <c r="AI255" s="147"/>
      <c r="AJ255" s="147"/>
      <c r="AK255" s="147"/>
      <c r="AL255" s="147"/>
      <c r="AM255" s="32"/>
      <c r="BV255" s="108"/>
      <c r="BX255" s="1"/>
    </row>
    <row r="256" spans="2:76" ht="13">
      <c r="B256" s="32"/>
      <c r="C256" s="146" t="s">
        <v>703</v>
      </c>
      <c r="D256" s="146"/>
      <c r="E256" s="146"/>
      <c r="F256" s="146"/>
      <c r="G256" s="146"/>
      <c r="H256" s="146"/>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c r="AH256" s="147"/>
      <c r="AI256" s="147"/>
      <c r="AJ256" s="147"/>
      <c r="AK256" s="147"/>
      <c r="AL256" s="147"/>
      <c r="AM256" s="32"/>
      <c r="BV256" s="108"/>
      <c r="BX256" s="1"/>
    </row>
    <row r="257" spans="2:76" ht="13">
      <c r="B257" s="32"/>
      <c r="C257" s="146" t="s">
        <v>704</v>
      </c>
      <c r="D257" s="146"/>
      <c r="E257" s="146"/>
      <c r="F257" s="146"/>
      <c r="G257" s="146"/>
      <c r="H257" s="146"/>
      <c r="I257" s="147"/>
      <c r="J257" s="147"/>
      <c r="K257" s="147"/>
      <c r="L257" s="147"/>
      <c r="M257" s="147"/>
      <c r="N257" s="147"/>
      <c r="O257" s="147"/>
      <c r="P257" s="147"/>
      <c r="Q257" s="147"/>
      <c r="R257" s="147"/>
      <c r="S257" s="147"/>
      <c r="T257" s="147"/>
      <c r="U257" s="147"/>
      <c r="V257" s="147"/>
      <c r="W257" s="147"/>
      <c r="X257" s="147"/>
      <c r="Y257" s="147"/>
      <c r="Z257" s="147"/>
      <c r="AA257" s="147"/>
      <c r="AB257" s="147"/>
      <c r="AC257" s="147"/>
      <c r="AD257" s="147"/>
      <c r="AE257" s="147"/>
      <c r="AF257" s="147"/>
      <c r="AG257" s="147"/>
      <c r="AH257" s="147"/>
      <c r="AI257" s="147"/>
      <c r="AJ257" s="147"/>
      <c r="AK257" s="147"/>
      <c r="AL257" s="147"/>
      <c r="AM257" s="32"/>
      <c r="BV257" s="108"/>
      <c r="BX257" s="1"/>
    </row>
    <row r="258" spans="2:76" ht="13">
      <c r="B258" s="32"/>
      <c r="C258" s="146" t="s">
        <v>705</v>
      </c>
      <c r="D258" s="146"/>
      <c r="E258" s="146"/>
      <c r="F258" s="146"/>
      <c r="G258" s="146"/>
      <c r="H258" s="146"/>
      <c r="I258" s="147"/>
      <c r="J258" s="147"/>
      <c r="K258" s="147"/>
      <c r="L258" s="147"/>
      <c r="M258" s="147"/>
      <c r="N258" s="147"/>
      <c r="O258" s="147"/>
      <c r="P258" s="147"/>
      <c r="Q258" s="147"/>
      <c r="R258" s="147"/>
      <c r="S258" s="147"/>
      <c r="T258" s="147"/>
      <c r="U258" s="147"/>
      <c r="V258" s="147"/>
      <c r="W258" s="147"/>
      <c r="X258" s="147"/>
      <c r="Y258" s="147"/>
      <c r="Z258" s="147"/>
      <c r="AA258" s="147"/>
      <c r="AB258" s="147"/>
      <c r="AC258" s="147"/>
      <c r="AD258" s="147"/>
      <c r="AE258" s="147"/>
      <c r="AF258" s="147"/>
      <c r="AG258" s="147"/>
      <c r="AH258" s="147"/>
      <c r="AI258" s="147"/>
      <c r="AJ258" s="147"/>
      <c r="AK258" s="147"/>
      <c r="AL258" s="147"/>
      <c r="AM258" s="32"/>
      <c r="BV258" s="108"/>
      <c r="BX258" s="1"/>
    </row>
    <row r="259" spans="2:76" ht="13">
      <c r="B259" s="32"/>
      <c r="C259" s="146" t="s">
        <v>697</v>
      </c>
      <c r="D259" s="146"/>
      <c r="E259" s="146"/>
      <c r="F259" s="146"/>
      <c r="G259" s="146"/>
      <c r="H259" s="146"/>
      <c r="I259" s="147"/>
      <c r="J259" s="147"/>
      <c r="K259" s="147"/>
      <c r="L259" s="147"/>
      <c r="M259" s="147"/>
      <c r="N259" s="147"/>
      <c r="O259" s="147"/>
      <c r="P259" s="147"/>
      <c r="Q259" s="147"/>
      <c r="R259" s="147"/>
      <c r="S259" s="147"/>
      <c r="T259" s="147"/>
      <c r="U259" s="147"/>
      <c r="V259" s="147"/>
      <c r="W259" s="147"/>
      <c r="X259" s="147"/>
      <c r="Y259" s="147"/>
      <c r="Z259" s="147"/>
      <c r="AA259" s="147"/>
      <c r="AB259" s="147"/>
      <c r="AC259" s="147"/>
      <c r="AD259" s="147"/>
      <c r="AE259" s="147"/>
      <c r="AF259" s="147"/>
      <c r="AG259" s="147"/>
      <c r="AH259" s="147"/>
      <c r="AI259" s="147"/>
      <c r="AJ259" s="147"/>
      <c r="AK259" s="147"/>
      <c r="AL259" s="147"/>
      <c r="AM259" s="32"/>
      <c r="BV259" s="108"/>
      <c r="BX259" s="1"/>
    </row>
    <row r="260" spans="2:76" ht="15" customHeight="1">
      <c r="B260" s="32"/>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c r="AA260" s="147"/>
      <c r="AB260" s="147"/>
      <c r="AC260" s="147"/>
      <c r="AD260" s="147"/>
      <c r="AE260" s="147"/>
      <c r="AF260" s="147"/>
      <c r="AG260" s="147"/>
      <c r="AH260" s="147"/>
      <c r="AI260" s="147"/>
      <c r="AJ260" s="147"/>
      <c r="AK260" s="147"/>
      <c r="AL260" s="147"/>
      <c r="AM260" s="32"/>
      <c r="BV260" s="108"/>
      <c r="BX260" s="1"/>
    </row>
    <row r="261" spans="2:76" ht="13">
      <c r="B261" s="32"/>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c r="AA261" s="147"/>
      <c r="AB261" s="147"/>
      <c r="AC261" s="147"/>
      <c r="AD261" s="147"/>
      <c r="AE261" s="147"/>
      <c r="AF261" s="147"/>
      <c r="AG261" s="147"/>
      <c r="AH261" s="147"/>
      <c r="AI261" s="147"/>
      <c r="AJ261" s="147"/>
      <c r="AK261" s="147"/>
      <c r="AL261" s="147"/>
      <c r="AM261" s="32"/>
      <c r="BV261" s="108"/>
      <c r="BX261" s="1"/>
    </row>
    <row r="262" spans="2:76" ht="13">
      <c r="B262" s="32"/>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c r="AA262" s="147"/>
      <c r="AB262" s="147"/>
      <c r="AC262" s="147"/>
      <c r="AD262" s="147"/>
      <c r="AE262" s="147"/>
      <c r="AF262" s="147"/>
      <c r="AG262" s="147"/>
      <c r="AH262" s="147"/>
      <c r="AI262" s="147"/>
      <c r="AJ262" s="147"/>
      <c r="AK262" s="147"/>
      <c r="AL262" s="147"/>
      <c r="AM262" s="32"/>
      <c r="BV262" s="108"/>
      <c r="BX262" s="1"/>
    </row>
    <row r="263" spans="2:76" ht="13">
      <c r="B263" s="32"/>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c r="AA263" s="147"/>
      <c r="AB263" s="147"/>
      <c r="AC263" s="147"/>
      <c r="AD263" s="147"/>
      <c r="AE263" s="147"/>
      <c r="AF263" s="147"/>
      <c r="AG263" s="147"/>
      <c r="AH263" s="147"/>
      <c r="AI263" s="147"/>
      <c r="AJ263" s="147"/>
      <c r="AK263" s="147"/>
      <c r="AL263" s="147"/>
      <c r="AM263" s="32"/>
      <c r="BV263" s="108"/>
      <c r="BX263" s="1"/>
    </row>
    <row r="264" spans="2:76" ht="13">
      <c r="B264" s="32"/>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BV264" s="108"/>
      <c r="BX264" s="1"/>
    </row>
    <row r="265" spans="2:76" ht="13"/>
    <row r="266" spans="2:76" ht="14" customHeight="1">
      <c r="B266" s="54" t="s">
        <v>14</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spans="2:76" ht="5" customHeight="1">
      <c r="B267" s="55"/>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spans="2:76" ht="14" customHeight="1">
      <c r="B268" s="32"/>
      <c r="C268" s="32" t="s">
        <v>502</v>
      </c>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row>
    <row r="269" spans="2:76" ht="40" customHeight="1">
      <c r="B269" s="81"/>
      <c r="C269" s="186"/>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c r="AE269" s="187"/>
      <c r="AF269" s="187"/>
      <c r="AG269" s="187"/>
      <c r="AH269" s="187"/>
      <c r="AI269" s="187"/>
      <c r="AJ269" s="187"/>
      <c r="AK269" s="187"/>
      <c r="AL269" s="188"/>
      <c r="AM269" s="32"/>
    </row>
    <row r="270" spans="2:76" ht="5" customHeight="1">
      <c r="B270" s="41"/>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row>
    <row r="271" spans="2:76" ht="13">
      <c r="B271" s="41"/>
      <c r="C271" s="32" t="s">
        <v>505</v>
      </c>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row>
    <row r="272" spans="2:76" ht="40" customHeight="1">
      <c r="B272" s="41"/>
      <c r="C272" s="186"/>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c r="AE272" s="187"/>
      <c r="AF272" s="187"/>
      <c r="AG272" s="187"/>
      <c r="AH272" s="187"/>
      <c r="AI272" s="187"/>
      <c r="AJ272" s="187"/>
      <c r="AK272" s="187"/>
      <c r="AL272" s="188"/>
      <c r="AM272" s="32"/>
    </row>
    <row r="273" spans="2:39" ht="5" customHeight="1">
      <c r="B273" s="41"/>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row>
    <row r="274" spans="2:39" ht="13">
      <c r="B274" s="41"/>
      <c r="C274" s="32" t="s">
        <v>506</v>
      </c>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row>
    <row r="275" spans="2:39" ht="40" customHeight="1">
      <c r="B275" s="41"/>
      <c r="C275" s="186"/>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c r="AE275" s="187"/>
      <c r="AF275" s="187"/>
      <c r="AG275" s="187"/>
      <c r="AH275" s="187"/>
      <c r="AI275" s="187"/>
      <c r="AJ275" s="187"/>
      <c r="AK275" s="187"/>
      <c r="AL275" s="188"/>
      <c r="AM275" s="32"/>
    </row>
    <row r="276" spans="2:39" ht="5" customHeight="1">
      <c r="B276" s="41"/>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row>
    <row r="277" spans="2:39" ht="13">
      <c r="B277" s="41"/>
      <c r="C277" s="32" t="s">
        <v>507</v>
      </c>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row>
    <row r="278" spans="2:39" ht="40" customHeight="1">
      <c r="B278" s="41"/>
      <c r="C278" s="186"/>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7"/>
      <c r="AI278" s="187"/>
      <c r="AJ278" s="187"/>
      <c r="AK278" s="187"/>
      <c r="AL278" s="188"/>
      <c r="AM278" s="32"/>
    </row>
    <row r="279" spans="2:39" ht="5" customHeight="1">
      <c r="B279" s="41"/>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row>
    <row r="280" spans="2:39" ht="28" customHeight="1">
      <c r="B280" s="41"/>
      <c r="C280" s="211" t="s">
        <v>508</v>
      </c>
      <c r="D280" s="211"/>
      <c r="E280" s="211"/>
      <c r="F280" s="211"/>
      <c r="G280" s="211"/>
      <c r="H280" s="211"/>
      <c r="I280" s="211"/>
      <c r="J280" s="211"/>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c r="AK280" s="211"/>
      <c r="AL280" s="211"/>
      <c r="AM280" s="32"/>
    </row>
    <row r="281" spans="2:39" ht="40" customHeight="1">
      <c r="B281" s="41"/>
      <c r="C281" s="186"/>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c r="AE281" s="187"/>
      <c r="AF281" s="187"/>
      <c r="AG281" s="187"/>
      <c r="AH281" s="187"/>
      <c r="AI281" s="187"/>
      <c r="AJ281" s="187"/>
      <c r="AK281" s="187"/>
      <c r="AL281" s="188"/>
      <c r="AM281" s="32"/>
    </row>
    <row r="282" spans="2:39" ht="5" customHeight="1">
      <c r="B282" s="41"/>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row>
    <row r="283" spans="2:39" ht="13">
      <c r="B283" s="41"/>
      <c r="C283" s="32" t="s">
        <v>509</v>
      </c>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row>
    <row r="284" spans="2:39" ht="40" customHeight="1">
      <c r="B284" s="41"/>
      <c r="C284" s="186"/>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c r="AE284" s="187"/>
      <c r="AF284" s="187"/>
      <c r="AG284" s="187"/>
      <c r="AH284" s="187"/>
      <c r="AI284" s="187"/>
      <c r="AJ284" s="187"/>
      <c r="AK284" s="187"/>
      <c r="AL284" s="188"/>
      <c r="AM284" s="32"/>
    </row>
    <row r="285" spans="2:39" ht="14" customHeight="1">
      <c r="B285" s="41"/>
      <c r="C285" s="59"/>
      <c r="D285" s="59"/>
      <c r="E285" s="59"/>
      <c r="F285" s="59"/>
      <c r="G285" s="59"/>
      <c r="H285" s="59"/>
      <c r="I285" s="59"/>
      <c r="J285" s="59"/>
      <c r="K285" s="59"/>
      <c r="L285" s="59"/>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row>
    <row r="287" spans="2:39" ht="14" customHeight="1">
      <c r="B287" s="54" t="s">
        <v>40</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spans="2:39" ht="5" customHeight="1">
      <c r="B288" s="55"/>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spans="2:39" ht="13">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row>
    <row r="290" spans="2:39" ht="14" customHeight="1">
      <c r="B290" s="32"/>
      <c r="C290" s="165" t="s">
        <v>15</v>
      </c>
      <c r="D290" s="165"/>
      <c r="E290" s="165"/>
      <c r="F290" s="166" t="s">
        <v>46</v>
      </c>
      <c r="G290" s="166"/>
      <c r="H290" s="166"/>
      <c r="I290" s="166"/>
      <c r="J290" s="166"/>
      <c r="K290" s="166"/>
      <c r="L290" s="166"/>
      <c r="M290" s="166"/>
      <c r="N290" s="166"/>
      <c r="O290" s="166"/>
      <c r="P290" s="166"/>
      <c r="Q290" s="166"/>
      <c r="R290" s="166"/>
      <c r="S290" s="166"/>
      <c r="T290" s="166"/>
      <c r="U290" s="166"/>
      <c r="V290" s="166"/>
      <c r="W290" s="166"/>
      <c r="X290" s="166"/>
      <c r="Y290" s="166"/>
      <c r="Z290" s="166"/>
      <c r="AA290" s="166"/>
      <c r="AB290" s="166"/>
      <c r="AC290" s="166" t="s">
        <v>45</v>
      </c>
      <c r="AD290" s="166"/>
      <c r="AE290" s="166"/>
      <c r="AF290" s="166"/>
      <c r="AG290" s="166"/>
      <c r="AH290" s="166"/>
      <c r="AI290" s="166"/>
      <c r="AJ290" s="166"/>
      <c r="AK290" s="166"/>
      <c r="AL290" s="166"/>
      <c r="AM290" s="32"/>
    </row>
    <row r="291" spans="2:39" ht="14" customHeight="1">
      <c r="B291" s="32"/>
      <c r="C291" s="164" t="s">
        <v>16</v>
      </c>
      <c r="D291" s="164"/>
      <c r="E291" s="164"/>
      <c r="F291" s="169" t="s">
        <v>242</v>
      </c>
      <c r="G291" s="169"/>
      <c r="H291" s="169"/>
      <c r="I291" s="169"/>
      <c r="J291" s="169"/>
      <c r="K291" s="169"/>
      <c r="L291" s="169"/>
      <c r="M291" s="169"/>
      <c r="N291" s="169"/>
      <c r="O291" s="169"/>
      <c r="P291" s="169"/>
      <c r="Q291" s="169"/>
      <c r="R291" s="169"/>
      <c r="S291" s="169"/>
      <c r="T291" s="169"/>
      <c r="U291" s="169"/>
      <c r="V291" s="169"/>
      <c r="W291" s="169"/>
      <c r="X291" s="169"/>
      <c r="Y291" s="169"/>
      <c r="Z291" s="172"/>
      <c r="AA291" s="172"/>
      <c r="AB291" s="172"/>
      <c r="AC291" s="172"/>
      <c r="AD291" s="172"/>
      <c r="AE291" s="172"/>
      <c r="AF291" s="172"/>
      <c r="AG291" s="172"/>
      <c r="AH291" s="172"/>
      <c r="AI291" s="172"/>
      <c r="AJ291" s="172"/>
      <c r="AK291" s="172"/>
      <c r="AL291" s="172"/>
      <c r="AM291" s="32"/>
    </row>
    <row r="292" spans="2:39" ht="28" customHeight="1">
      <c r="B292" s="32"/>
      <c r="C292" s="164" t="s">
        <v>17</v>
      </c>
      <c r="D292" s="164"/>
      <c r="E292" s="164"/>
      <c r="F292" s="168" t="s">
        <v>18</v>
      </c>
      <c r="G292" s="168"/>
      <c r="H292" s="168"/>
      <c r="I292" s="168"/>
      <c r="J292" s="168"/>
      <c r="K292" s="168"/>
      <c r="L292" s="168"/>
      <c r="M292" s="168"/>
      <c r="N292" s="168"/>
      <c r="O292" s="168"/>
      <c r="P292" s="168"/>
      <c r="Q292" s="168"/>
      <c r="R292" s="168"/>
      <c r="S292" s="168"/>
      <c r="T292" s="168"/>
      <c r="U292" s="168"/>
      <c r="V292" s="168"/>
      <c r="W292" s="168"/>
      <c r="X292" s="168"/>
      <c r="Y292" s="168"/>
      <c r="Z292" s="172"/>
      <c r="AA292" s="172"/>
      <c r="AB292" s="172"/>
      <c r="AC292" s="172"/>
      <c r="AD292" s="172"/>
      <c r="AE292" s="172"/>
      <c r="AF292" s="172"/>
      <c r="AG292" s="172"/>
      <c r="AH292" s="172"/>
      <c r="AI292" s="172"/>
      <c r="AJ292" s="172"/>
      <c r="AK292" s="172"/>
      <c r="AL292" s="172"/>
      <c r="AM292" s="32"/>
    </row>
    <row r="293" spans="2:39" ht="26" customHeight="1">
      <c r="B293" s="32"/>
      <c r="C293" s="164" t="s">
        <v>19</v>
      </c>
      <c r="D293" s="164"/>
      <c r="E293" s="164"/>
      <c r="F293" s="168" t="s">
        <v>243</v>
      </c>
      <c r="G293" s="168"/>
      <c r="H293" s="168"/>
      <c r="I293" s="168"/>
      <c r="J293" s="168"/>
      <c r="K293" s="168"/>
      <c r="L293" s="168"/>
      <c r="M293" s="168"/>
      <c r="N293" s="168"/>
      <c r="O293" s="168"/>
      <c r="P293" s="168"/>
      <c r="Q293" s="168"/>
      <c r="R293" s="168"/>
      <c r="S293" s="168"/>
      <c r="T293" s="168"/>
      <c r="U293" s="168"/>
      <c r="V293" s="168"/>
      <c r="W293" s="168"/>
      <c r="X293" s="168"/>
      <c r="Y293" s="168"/>
      <c r="Z293" s="172"/>
      <c r="AA293" s="172"/>
      <c r="AB293" s="172"/>
      <c r="AC293" s="172"/>
      <c r="AD293" s="172"/>
      <c r="AE293" s="172"/>
      <c r="AF293" s="172"/>
      <c r="AG293" s="172"/>
      <c r="AH293" s="172"/>
      <c r="AI293" s="172"/>
      <c r="AJ293" s="172"/>
      <c r="AK293" s="172"/>
      <c r="AL293" s="172"/>
      <c r="AM293" s="32"/>
    </row>
    <row r="294" spans="2:39" ht="28" customHeight="1">
      <c r="B294" s="32"/>
      <c r="C294" s="164" t="s">
        <v>20</v>
      </c>
      <c r="D294" s="164"/>
      <c r="E294" s="164"/>
      <c r="F294" s="168" t="s">
        <v>244</v>
      </c>
      <c r="G294" s="168"/>
      <c r="H294" s="168"/>
      <c r="I294" s="168"/>
      <c r="J294" s="168"/>
      <c r="K294" s="168"/>
      <c r="L294" s="168"/>
      <c r="M294" s="168"/>
      <c r="N294" s="168"/>
      <c r="O294" s="168"/>
      <c r="P294" s="168"/>
      <c r="Q294" s="168"/>
      <c r="R294" s="168"/>
      <c r="S294" s="168"/>
      <c r="T294" s="168"/>
      <c r="U294" s="168"/>
      <c r="V294" s="168"/>
      <c r="W294" s="168"/>
      <c r="X294" s="168"/>
      <c r="Y294" s="168"/>
      <c r="Z294" s="172"/>
      <c r="AA294" s="172"/>
      <c r="AB294" s="172"/>
      <c r="AC294" s="172"/>
      <c r="AD294" s="172"/>
      <c r="AE294" s="172"/>
      <c r="AF294" s="172"/>
      <c r="AG294" s="172"/>
      <c r="AH294" s="172"/>
      <c r="AI294" s="172"/>
      <c r="AJ294" s="172"/>
      <c r="AK294" s="172"/>
      <c r="AL294" s="172"/>
      <c r="AM294" s="32"/>
    </row>
    <row r="295" spans="2:39" ht="26" customHeight="1">
      <c r="B295" s="32"/>
      <c r="C295" s="164" t="s">
        <v>21</v>
      </c>
      <c r="D295" s="164"/>
      <c r="E295" s="164"/>
      <c r="F295" s="169" t="s">
        <v>245</v>
      </c>
      <c r="G295" s="169"/>
      <c r="H295" s="169"/>
      <c r="I295" s="169"/>
      <c r="J295" s="169"/>
      <c r="K295" s="169"/>
      <c r="L295" s="169"/>
      <c r="M295" s="169"/>
      <c r="N295" s="169"/>
      <c r="O295" s="169"/>
      <c r="P295" s="169"/>
      <c r="Q295" s="169"/>
      <c r="R295" s="169"/>
      <c r="S295" s="169"/>
      <c r="T295" s="169"/>
      <c r="U295" s="169"/>
      <c r="V295" s="169"/>
      <c r="W295" s="169"/>
      <c r="X295" s="169"/>
      <c r="Y295" s="169"/>
      <c r="Z295" s="172"/>
      <c r="AA295" s="172"/>
      <c r="AB295" s="172"/>
      <c r="AC295" s="172"/>
      <c r="AD295" s="172"/>
      <c r="AE295" s="172"/>
      <c r="AF295" s="172"/>
      <c r="AG295" s="172"/>
      <c r="AH295" s="172"/>
      <c r="AI295" s="172"/>
      <c r="AJ295" s="172"/>
      <c r="AK295" s="172"/>
      <c r="AL295" s="172"/>
      <c r="AM295" s="32"/>
    </row>
    <row r="296" spans="2:39" ht="14" customHeight="1">
      <c r="B296" s="32"/>
      <c r="C296" s="164" t="s">
        <v>22</v>
      </c>
      <c r="D296" s="164"/>
      <c r="E296" s="164"/>
      <c r="F296" s="169" t="s">
        <v>23</v>
      </c>
      <c r="G296" s="169"/>
      <c r="H296" s="169"/>
      <c r="I296" s="169"/>
      <c r="J296" s="169"/>
      <c r="K296" s="169"/>
      <c r="L296" s="169"/>
      <c r="M296" s="169"/>
      <c r="N296" s="173" t="s">
        <v>241</v>
      </c>
      <c r="O296" s="173"/>
      <c r="P296" s="173"/>
      <c r="Q296" s="173"/>
      <c r="R296" s="173"/>
      <c r="S296" s="173"/>
      <c r="T296" s="173"/>
      <c r="U296" s="173"/>
      <c r="V296" s="173"/>
      <c r="W296" s="173"/>
      <c r="X296" s="173"/>
      <c r="Y296" s="173"/>
      <c r="Z296" s="172"/>
      <c r="AA296" s="172"/>
      <c r="AB296" s="172"/>
      <c r="AC296" s="172"/>
      <c r="AD296" s="172"/>
      <c r="AE296" s="172"/>
      <c r="AF296" s="172"/>
      <c r="AG296" s="172"/>
      <c r="AH296" s="172"/>
      <c r="AI296" s="172"/>
      <c r="AJ296" s="172"/>
      <c r="AK296" s="172"/>
      <c r="AL296" s="172"/>
      <c r="AM296" s="32"/>
    </row>
    <row r="297" spans="2:39" ht="13.5" customHeight="1">
      <c r="B297" s="32"/>
      <c r="C297" s="164"/>
      <c r="D297" s="164"/>
      <c r="E297" s="164"/>
      <c r="F297" s="169"/>
      <c r="G297" s="169"/>
      <c r="H297" s="169"/>
      <c r="I297" s="169"/>
      <c r="J297" s="169"/>
      <c r="K297" s="169"/>
      <c r="L297" s="169"/>
      <c r="M297" s="169"/>
      <c r="N297" s="169" t="s">
        <v>24</v>
      </c>
      <c r="O297" s="169"/>
      <c r="P297" s="169"/>
      <c r="Q297" s="169"/>
      <c r="R297" s="169"/>
      <c r="S297" s="169"/>
      <c r="T297" s="169"/>
      <c r="U297" s="169"/>
      <c r="V297" s="169"/>
      <c r="W297" s="169"/>
      <c r="X297" s="169"/>
      <c r="Y297" s="169"/>
      <c r="Z297" s="172"/>
      <c r="AA297" s="172"/>
      <c r="AB297" s="172"/>
      <c r="AC297" s="172"/>
      <c r="AD297" s="172"/>
      <c r="AE297" s="172"/>
      <c r="AF297" s="172"/>
      <c r="AG297" s="172"/>
      <c r="AH297" s="172"/>
      <c r="AI297" s="172"/>
      <c r="AJ297" s="172"/>
      <c r="AK297" s="172"/>
      <c r="AL297" s="172"/>
      <c r="AM297" s="32"/>
    </row>
    <row r="298" spans="2:39" ht="14" customHeight="1">
      <c r="B298" s="32"/>
      <c r="C298" s="164"/>
      <c r="D298" s="164"/>
      <c r="E298" s="164"/>
      <c r="F298" s="169"/>
      <c r="G298" s="169"/>
      <c r="H298" s="169"/>
      <c r="I298" s="169"/>
      <c r="J298" s="169"/>
      <c r="K298" s="169"/>
      <c r="L298" s="169"/>
      <c r="M298" s="169"/>
      <c r="N298" s="169" t="s">
        <v>25</v>
      </c>
      <c r="O298" s="169"/>
      <c r="P298" s="169"/>
      <c r="Q298" s="169"/>
      <c r="R298" s="169"/>
      <c r="S298" s="169"/>
      <c r="T298" s="169"/>
      <c r="U298" s="169"/>
      <c r="V298" s="169"/>
      <c r="W298" s="169"/>
      <c r="X298" s="169"/>
      <c r="Y298" s="169"/>
      <c r="Z298" s="172"/>
      <c r="AA298" s="172"/>
      <c r="AB298" s="172"/>
      <c r="AC298" s="172"/>
      <c r="AD298" s="172"/>
      <c r="AE298" s="172"/>
      <c r="AF298" s="172"/>
      <c r="AG298" s="172"/>
      <c r="AH298" s="172"/>
      <c r="AI298" s="172"/>
      <c r="AJ298" s="172"/>
      <c r="AK298" s="172"/>
      <c r="AL298" s="172"/>
      <c r="AM298" s="32"/>
    </row>
    <row r="299" spans="2:39" ht="14" customHeight="1">
      <c r="B299" s="32"/>
      <c r="C299" s="164"/>
      <c r="D299" s="164"/>
      <c r="E299" s="164"/>
      <c r="F299" s="169"/>
      <c r="G299" s="169"/>
      <c r="H299" s="169"/>
      <c r="I299" s="169"/>
      <c r="J299" s="169"/>
      <c r="K299" s="169"/>
      <c r="L299" s="169"/>
      <c r="M299" s="169"/>
      <c r="N299" s="169" t="s">
        <v>26</v>
      </c>
      <c r="O299" s="169"/>
      <c r="P299" s="169"/>
      <c r="Q299" s="169"/>
      <c r="R299" s="169"/>
      <c r="S299" s="169"/>
      <c r="T299" s="169"/>
      <c r="U299" s="169"/>
      <c r="V299" s="169"/>
      <c r="W299" s="169"/>
      <c r="X299" s="169"/>
      <c r="Y299" s="169"/>
      <c r="Z299" s="172"/>
      <c r="AA299" s="172"/>
      <c r="AB299" s="172"/>
      <c r="AC299" s="172"/>
      <c r="AD299" s="172"/>
      <c r="AE299" s="172"/>
      <c r="AF299" s="172"/>
      <c r="AG299" s="172"/>
      <c r="AH299" s="172"/>
      <c r="AI299" s="172"/>
      <c r="AJ299" s="172"/>
      <c r="AK299" s="172"/>
      <c r="AL299" s="172"/>
      <c r="AM299" s="32"/>
    </row>
    <row r="300" spans="2:39" ht="14" customHeight="1">
      <c r="B300" s="32"/>
      <c r="C300" s="164"/>
      <c r="D300" s="164"/>
      <c r="E300" s="164"/>
      <c r="F300" s="169"/>
      <c r="G300" s="169"/>
      <c r="H300" s="169"/>
      <c r="I300" s="169"/>
      <c r="J300" s="169"/>
      <c r="K300" s="169"/>
      <c r="L300" s="169"/>
      <c r="M300" s="169"/>
      <c r="N300" s="169" t="s">
        <v>27</v>
      </c>
      <c r="O300" s="169"/>
      <c r="P300" s="169"/>
      <c r="Q300" s="169"/>
      <c r="R300" s="169"/>
      <c r="S300" s="169"/>
      <c r="T300" s="169"/>
      <c r="U300" s="169"/>
      <c r="V300" s="169"/>
      <c r="W300" s="169"/>
      <c r="X300" s="169"/>
      <c r="Y300" s="169"/>
      <c r="Z300" s="172"/>
      <c r="AA300" s="172"/>
      <c r="AB300" s="172"/>
      <c r="AC300" s="172"/>
      <c r="AD300" s="172"/>
      <c r="AE300" s="172"/>
      <c r="AF300" s="172"/>
      <c r="AG300" s="172"/>
      <c r="AH300" s="172"/>
      <c r="AI300" s="172"/>
      <c r="AJ300" s="172"/>
      <c r="AK300" s="172"/>
      <c r="AL300" s="172"/>
      <c r="AM300" s="32"/>
    </row>
    <row r="301" spans="2:39" ht="26" customHeight="1">
      <c r="B301" s="32"/>
      <c r="C301" s="164" t="s">
        <v>28</v>
      </c>
      <c r="D301" s="164"/>
      <c r="E301" s="164"/>
      <c r="F301" s="168" t="s">
        <v>246</v>
      </c>
      <c r="G301" s="168"/>
      <c r="H301" s="168"/>
      <c r="I301" s="168"/>
      <c r="J301" s="168"/>
      <c r="K301" s="168"/>
      <c r="L301" s="168"/>
      <c r="M301" s="168"/>
      <c r="N301" s="168"/>
      <c r="O301" s="168"/>
      <c r="P301" s="168"/>
      <c r="Q301" s="168"/>
      <c r="R301" s="168"/>
      <c r="S301" s="168"/>
      <c r="T301" s="168"/>
      <c r="U301" s="168"/>
      <c r="V301" s="168"/>
      <c r="W301" s="168"/>
      <c r="X301" s="168"/>
      <c r="Y301" s="168"/>
      <c r="Z301" s="172"/>
      <c r="AA301" s="172"/>
      <c r="AB301" s="172"/>
      <c r="AC301" s="172"/>
      <c r="AD301" s="172"/>
      <c r="AE301" s="172"/>
      <c r="AF301" s="172"/>
      <c r="AG301" s="172"/>
      <c r="AH301" s="172"/>
      <c r="AI301" s="172"/>
      <c r="AJ301" s="172"/>
      <c r="AK301" s="172"/>
      <c r="AL301" s="172"/>
      <c r="AM301" s="32"/>
    </row>
    <row r="302" spans="2:39" ht="27" customHeight="1">
      <c r="B302" s="32"/>
      <c r="C302" s="164" t="s">
        <v>29</v>
      </c>
      <c r="D302" s="164"/>
      <c r="E302" s="164"/>
      <c r="F302" s="168" t="s">
        <v>247</v>
      </c>
      <c r="G302" s="168"/>
      <c r="H302" s="168"/>
      <c r="I302" s="168"/>
      <c r="J302" s="168"/>
      <c r="K302" s="168"/>
      <c r="L302" s="168"/>
      <c r="M302" s="168"/>
      <c r="N302" s="168"/>
      <c r="O302" s="168"/>
      <c r="P302" s="168"/>
      <c r="Q302" s="168"/>
      <c r="R302" s="168"/>
      <c r="S302" s="168"/>
      <c r="T302" s="168"/>
      <c r="U302" s="168"/>
      <c r="V302" s="168"/>
      <c r="W302" s="168"/>
      <c r="X302" s="168"/>
      <c r="Y302" s="168"/>
      <c r="Z302" s="172"/>
      <c r="AA302" s="172"/>
      <c r="AB302" s="172"/>
      <c r="AC302" s="172"/>
      <c r="AD302" s="172"/>
      <c r="AE302" s="172"/>
      <c r="AF302" s="172"/>
      <c r="AG302" s="172"/>
      <c r="AH302" s="172"/>
      <c r="AI302" s="172"/>
      <c r="AJ302" s="172"/>
      <c r="AK302" s="172"/>
      <c r="AL302" s="172"/>
      <c r="AM302" s="32"/>
    </row>
    <row r="303" spans="2:39" ht="26" customHeight="1">
      <c r="B303" s="32"/>
      <c r="C303" s="164" t="s">
        <v>30</v>
      </c>
      <c r="D303" s="164"/>
      <c r="E303" s="164"/>
      <c r="F303" s="168" t="s">
        <v>248</v>
      </c>
      <c r="G303" s="168"/>
      <c r="H303" s="168"/>
      <c r="I303" s="168"/>
      <c r="J303" s="168"/>
      <c r="K303" s="168"/>
      <c r="L303" s="168"/>
      <c r="M303" s="168"/>
      <c r="N303" s="168"/>
      <c r="O303" s="168"/>
      <c r="P303" s="168"/>
      <c r="Q303" s="168"/>
      <c r="R303" s="168"/>
      <c r="S303" s="168"/>
      <c r="T303" s="168"/>
      <c r="U303" s="168"/>
      <c r="V303" s="168"/>
      <c r="W303" s="168"/>
      <c r="X303" s="168"/>
      <c r="Y303" s="168"/>
      <c r="Z303" s="172"/>
      <c r="AA303" s="172"/>
      <c r="AB303" s="172"/>
      <c r="AC303" s="172"/>
      <c r="AD303" s="172"/>
      <c r="AE303" s="172"/>
      <c r="AF303" s="172"/>
      <c r="AG303" s="172"/>
      <c r="AH303" s="172"/>
      <c r="AI303" s="172"/>
      <c r="AJ303" s="172"/>
      <c r="AK303" s="172"/>
      <c r="AL303" s="172"/>
      <c r="AM303" s="32"/>
    </row>
    <row r="304" spans="2:39" ht="26" customHeight="1">
      <c r="B304" s="32"/>
      <c r="C304" s="164" t="s">
        <v>31</v>
      </c>
      <c r="D304" s="164"/>
      <c r="E304" s="164"/>
      <c r="F304" s="168" t="s">
        <v>249</v>
      </c>
      <c r="G304" s="168"/>
      <c r="H304" s="168"/>
      <c r="I304" s="168"/>
      <c r="J304" s="168"/>
      <c r="K304" s="168"/>
      <c r="L304" s="168"/>
      <c r="M304" s="168"/>
      <c r="N304" s="168"/>
      <c r="O304" s="168"/>
      <c r="P304" s="168"/>
      <c r="Q304" s="168"/>
      <c r="R304" s="168"/>
      <c r="S304" s="168"/>
      <c r="T304" s="168"/>
      <c r="U304" s="168"/>
      <c r="V304" s="168"/>
      <c r="W304" s="168"/>
      <c r="X304" s="168"/>
      <c r="Y304" s="168"/>
      <c r="Z304" s="172"/>
      <c r="AA304" s="172"/>
      <c r="AB304" s="172"/>
      <c r="AC304" s="172"/>
      <c r="AD304" s="172"/>
      <c r="AE304" s="172"/>
      <c r="AF304" s="172"/>
      <c r="AG304" s="172"/>
      <c r="AH304" s="172"/>
      <c r="AI304" s="172"/>
      <c r="AJ304" s="172"/>
      <c r="AK304" s="172"/>
      <c r="AL304" s="172"/>
      <c r="AM304" s="32"/>
    </row>
    <row r="305" spans="2:39" ht="26" customHeight="1">
      <c r="B305" s="32"/>
      <c r="C305" s="164" t="s">
        <v>32</v>
      </c>
      <c r="D305" s="164"/>
      <c r="E305" s="164"/>
      <c r="F305" s="168" t="s">
        <v>250</v>
      </c>
      <c r="G305" s="168"/>
      <c r="H305" s="168"/>
      <c r="I305" s="168"/>
      <c r="J305" s="168"/>
      <c r="K305" s="168"/>
      <c r="L305" s="168"/>
      <c r="M305" s="168"/>
      <c r="N305" s="168"/>
      <c r="O305" s="168"/>
      <c r="P305" s="168"/>
      <c r="Q305" s="168"/>
      <c r="R305" s="168"/>
      <c r="S305" s="168"/>
      <c r="T305" s="168"/>
      <c r="U305" s="168"/>
      <c r="V305" s="168"/>
      <c r="W305" s="168"/>
      <c r="X305" s="168"/>
      <c r="Y305" s="168"/>
      <c r="Z305" s="172"/>
      <c r="AA305" s="172"/>
      <c r="AB305" s="172"/>
      <c r="AC305" s="172"/>
      <c r="AD305" s="172"/>
      <c r="AE305" s="172"/>
      <c r="AF305" s="172"/>
      <c r="AG305" s="172"/>
      <c r="AH305" s="172"/>
      <c r="AI305" s="172"/>
      <c r="AJ305" s="172"/>
      <c r="AK305" s="172"/>
      <c r="AL305" s="172"/>
      <c r="AM305" s="32"/>
    </row>
    <row r="306" spans="2:39" ht="13">
      <c r="B306" s="32"/>
      <c r="C306" s="57"/>
      <c r="D306" s="57"/>
      <c r="E306" s="57"/>
      <c r="F306" s="58"/>
      <c r="G306" s="58"/>
      <c r="H306" s="58"/>
      <c r="I306" s="58"/>
      <c r="J306" s="58"/>
      <c r="K306" s="58"/>
      <c r="L306" s="58"/>
      <c r="M306" s="58"/>
      <c r="N306" s="58"/>
      <c r="O306" s="58"/>
      <c r="P306" s="58"/>
      <c r="Q306" s="58"/>
      <c r="R306" s="58"/>
      <c r="S306" s="58"/>
      <c r="T306" s="58"/>
      <c r="U306" s="58"/>
      <c r="V306" s="58"/>
      <c r="W306" s="58"/>
      <c r="X306" s="58"/>
      <c r="Y306" s="58"/>
      <c r="Z306" s="59"/>
      <c r="AA306" s="59"/>
      <c r="AB306" s="59"/>
      <c r="AC306" s="59"/>
      <c r="AD306" s="59"/>
      <c r="AE306" s="59"/>
      <c r="AF306" s="59"/>
      <c r="AG306" s="59"/>
      <c r="AH306" s="59"/>
      <c r="AI306" s="59"/>
      <c r="AJ306" s="59"/>
      <c r="AK306" s="59"/>
      <c r="AL306" s="59"/>
      <c r="AM306" s="32"/>
    </row>
    <row r="308" spans="2:39" ht="14" customHeight="1">
      <c r="B308" s="54" t="s">
        <v>41</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spans="2:39" ht="5" customHeight="1">
      <c r="B309" s="55"/>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spans="2:39" ht="13">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row>
    <row r="311" spans="2:39" ht="14" customHeight="1">
      <c r="B311" s="32"/>
      <c r="C311" s="165" t="s">
        <v>15</v>
      </c>
      <c r="D311" s="165"/>
      <c r="E311" s="165"/>
      <c r="F311" s="166" t="s">
        <v>33</v>
      </c>
      <c r="G311" s="166"/>
      <c r="H311" s="166"/>
      <c r="I311" s="166"/>
      <c r="J311" s="166"/>
      <c r="K311" s="166"/>
      <c r="L311" s="166"/>
      <c r="M311" s="166"/>
      <c r="N311" s="166"/>
      <c r="O311" s="166"/>
      <c r="P311" s="166"/>
      <c r="Q311" s="166"/>
      <c r="R311" s="166"/>
      <c r="S311" s="166"/>
      <c r="T311" s="166"/>
      <c r="U311" s="166"/>
      <c r="V311" s="166"/>
      <c r="W311" s="166"/>
      <c r="X311" s="166"/>
      <c r="Y311" s="166"/>
      <c r="Z311" s="166"/>
      <c r="AA311" s="166"/>
      <c r="AB311" s="166"/>
      <c r="AC311" s="174" t="s">
        <v>45</v>
      </c>
      <c r="AD311" s="174"/>
      <c r="AE311" s="174"/>
      <c r="AF311" s="174"/>
      <c r="AG311" s="174"/>
      <c r="AH311" s="174"/>
      <c r="AI311" s="174"/>
      <c r="AJ311" s="174"/>
      <c r="AK311" s="174"/>
      <c r="AL311" s="174"/>
      <c r="AM311" s="32"/>
    </row>
    <row r="312" spans="2:39" ht="14" customHeight="1">
      <c r="B312" s="32"/>
      <c r="C312" s="164" t="s">
        <v>16</v>
      </c>
      <c r="D312" s="164"/>
      <c r="E312" s="164"/>
      <c r="F312" s="169" t="s">
        <v>251</v>
      </c>
      <c r="G312" s="169"/>
      <c r="H312" s="169"/>
      <c r="I312" s="169"/>
      <c r="J312" s="169"/>
      <c r="K312" s="169"/>
      <c r="L312" s="169"/>
      <c r="M312" s="169"/>
      <c r="N312" s="169"/>
      <c r="O312" s="169"/>
      <c r="P312" s="169"/>
      <c r="Q312" s="169"/>
      <c r="R312" s="169"/>
      <c r="S312" s="169"/>
      <c r="T312" s="169"/>
      <c r="U312" s="169"/>
      <c r="V312" s="169"/>
      <c r="W312" s="169"/>
      <c r="X312" s="169"/>
      <c r="Y312" s="169"/>
      <c r="Z312" s="172"/>
      <c r="AA312" s="172"/>
      <c r="AB312" s="172"/>
      <c r="AC312" s="172"/>
      <c r="AD312" s="172"/>
      <c r="AE312" s="172"/>
      <c r="AF312" s="172"/>
      <c r="AG312" s="172"/>
      <c r="AH312" s="172"/>
      <c r="AI312" s="172"/>
      <c r="AJ312" s="172"/>
      <c r="AK312" s="172"/>
      <c r="AL312" s="172"/>
      <c r="AM312" s="32"/>
    </row>
    <row r="313" spans="2:39" ht="14" customHeight="1">
      <c r="B313" s="32"/>
      <c r="C313" s="164" t="s">
        <v>17</v>
      </c>
      <c r="D313" s="164"/>
      <c r="E313" s="164"/>
      <c r="F313" s="169" t="s">
        <v>252</v>
      </c>
      <c r="G313" s="169"/>
      <c r="H313" s="169"/>
      <c r="I313" s="169"/>
      <c r="J313" s="169"/>
      <c r="K313" s="169"/>
      <c r="L313" s="169"/>
      <c r="M313" s="169"/>
      <c r="N313" s="169"/>
      <c r="O313" s="169"/>
      <c r="P313" s="169"/>
      <c r="Q313" s="169"/>
      <c r="R313" s="169"/>
      <c r="S313" s="169"/>
      <c r="T313" s="169"/>
      <c r="U313" s="169"/>
      <c r="V313" s="169"/>
      <c r="W313" s="169"/>
      <c r="X313" s="169"/>
      <c r="Y313" s="169"/>
      <c r="Z313" s="172"/>
      <c r="AA313" s="172"/>
      <c r="AB313" s="172"/>
      <c r="AC313" s="172"/>
      <c r="AD313" s="172"/>
      <c r="AE313" s="172"/>
      <c r="AF313" s="172"/>
      <c r="AG313" s="172"/>
      <c r="AH313" s="172"/>
      <c r="AI313" s="172"/>
      <c r="AJ313" s="172"/>
      <c r="AK313" s="172"/>
      <c r="AL313" s="172"/>
      <c r="AM313" s="32"/>
    </row>
    <row r="314" spans="2:39" ht="14" customHeight="1">
      <c r="B314" s="32"/>
      <c r="C314" s="164" t="s">
        <v>19</v>
      </c>
      <c r="D314" s="164"/>
      <c r="E314" s="164"/>
      <c r="F314" s="169" t="s">
        <v>34</v>
      </c>
      <c r="G314" s="169"/>
      <c r="H314" s="169"/>
      <c r="I314" s="169"/>
      <c r="J314" s="169"/>
      <c r="K314" s="169"/>
      <c r="L314" s="169"/>
      <c r="M314" s="169"/>
      <c r="N314" s="169"/>
      <c r="O314" s="169"/>
      <c r="P314" s="169"/>
      <c r="Q314" s="169"/>
      <c r="R314" s="169"/>
      <c r="S314" s="169"/>
      <c r="T314" s="169"/>
      <c r="U314" s="169"/>
      <c r="V314" s="169"/>
      <c r="W314" s="169"/>
      <c r="X314" s="169"/>
      <c r="Y314" s="169"/>
      <c r="Z314" s="172"/>
      <c r="AA314" s="172"/>
      <c r="AB314" s="172"/>
      <c r="AC314" s="172"/>
      <c r="AD314" s="172"/>
      <c r="AE314" s="172"/>
      <c r="AF314" s="172"/>
      <c r="AG314" s="172"/>
      <c r="AH314" s="172"/>
      <c r="AI314" s="172"/>
      <c r="AJ314" s="172"/>
      <c r="AK314" s="172"/>
      <c r="AL314" s="172"/>
      <c r="AM314" s="32"/>
    </row>
    <row r="315" spans="2:39" ht="14" customHeight="1">
      <c r="B315" s="32"/>
      <c r="C315" s="164" t="s">
        <v>20</v>
      </c>
      <c r="D315" s="164"/>
      <c r="E315" s="164"/>
      <c r="F315" s="169" t="s">
        <v>35</v>
      </c>
      <c r="G315" s="169"/>
      <c r="H315" s="169"/>
      <c r="I315" s="169"/>
      <c r="J315" s="169"/>
      <c r="K315" s="169"/>
      <c r="L315" s="169"/>
      <c r="M315" s="169"/>
      <c r="N315" s="169"/>
      <c r="O315" s="169"/>
      <c r="P315" s="169"/>
      <c r="Q315" s="169"/>
      <c r="R315" s="169"/>
      <c r="S315" s="169"/>
      <c r="T315" s="169"/>
      <c r="U315" s="169"/>
      <c r="V315" s="169"/>
      <c r="W315" s="169"/>
      <c r="X315" s="169"/>
      <c r="Y315" s="169"/>
      <c r="Z315" s="172"/>
      <c r="AA315" s="172"/>
      <c r="AB315" s="172"/>
      <c r="AC315" s="172"/>
      <c r="AD315" s="172"/>
      <c r="AE315" s="172"/>
      <c r="AF315" s="172"/>
      <c r="AG315" s="172"/>
      <c r="AH315" s="172"/>
      <c r="AI315" s="172"/>
      <c r="AJ315" s="172"/>
      <c r="AK315" s="172"/>
      <c r="AL315" s="172"/>
      <c r="AM315" s="32"/>
    </row>
    <row r="316" spans="2:39" ht="14" customHeight="1">
      <c r="B316" s="32"/>
      <c r="C316" s="209" t="s">
        <v>21</v>
      </c>
      <c r="D316" s="209"/>
      <c r="E316" s="209"/>
      <c r="F316" s="169" t="s">
        <v>36</v>
      </c>
      <c r="G316" s="169"/>
      <c r="H316" s="169"/>
      <c r="I316" s="169"/>
      <c r="J316" s="169"/>
      <c r="K316" s="169"/>
      <c r="L316" s="169"/>
      <c r="M316" s="169"/>
      <c r="N316" s="169"/>
      <c r="O316" s="169"/>
      <c r="P316" s="169"/>
      <c r="Q316" s="169"/>
      <c r="R316" s="169"/>
      <c r="S316" s="169"/>
      <c r="T316" s="169"/>
      <c r="U316" s="169"/>
      <c r="V316" s="169"/>
      <c r="W316" s="169"/>
      <c r="X316" s="169"/>
      <c r="Y316" s="169"/>
      <c r="Z316" s="172"/>
      <c r="AA316" s="172"/>
      <c r="AB316" s="172"/>
      <c r="AC316" s="172"/>
      <c r="AD316" s="172"/>
      <c r="AE316" s="172"/>
      <c r="AF316" s="172"/>
      <c r="AG316" s="172"/>
      <c r="AH316" s="172"/>
      <c r="AI316" s="172"/>
      <c r="AJ316" s="172"/>
      <c r="AK316" s="172"/>
      <c r="AL316" s="172"/>
      <c r="AM316" s="32"/>
    </row>
    <row r="317" spans="2:39" ht="14" customHeight="1">
      <c r="B317" s="32"/>
      <c r="C317" s="66"/>
      <c r="D317" s="66"/>
      <c r="E317" s="66"/>
      <c r="F317" s="61"/>
      <c r="G317" s="61"/>
      <c r="H317" s="61"/>
      <c r="I317" s="61"/>
      <c r="J317" s="61"/>
      <c r="K317" s="61"/>
      <c r="L317" s="61"/>
      <c r="M317" s="61"/>
      <c r="N317" s="61"/>
      <c r="O317" s="61"/>
      <c r="P317" s="61"/>
      <c r="Q317" s="61"/>
      <c r="R317" s="61"/>
      <c r="S317" s="61"/>
      <c r="T317" s="61"/>
      <c r="U317" s="61"/>
      <c r="V317" s="61"/>
      <c r="W317" s="61"/>
      <c r="X317" s="61"/>
      <c r="Y317" s="61"/>
      <c r="Z317" s="59"/>
      <c r="AA317" s="59"/>
      <c r="AB317" s="59"/>
      <c r="AC317" s="59"/>
      <c r="AD317" s="59"/>
      <c r="AE317" s="59"/>
      <c r="AF317" s="59"/>
      <c r="AG317" s="59"/>
      <c r="AH317" s="59"/>
      <c r="AI317" s="59"/>
      <c r="AJ317" s="59"/>
      <c r="AK317" s="59"/>
      <c r="AL317" s="59"/>
      <c r="AM317" s="32"/>
    </row>
    <row r="318" spans="2:39" ht="49.5" customHeight="1">
      <c r="B318" s="32"/>
      <c r="C318" s="176" t="s">
        <v>38</v>
      </c>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c r="AE318" s="176"/>
      <c r="AF318" s="176"/>
      <c r="AG318" s="176"/>
      <c r="AH318" s="176"/>
      <c r="AI318" s="176"/>
      <c r="AJ318" s="176"/>
      <c r="AK318" s="176"/>
      <c r="AL318" s="176"/>
      <c r="AM318" s="32"/>
    </row>
    <row r="319" spans="2:39" ht="117" customHeight="1">
      <c r="B319" s="32"/>
      <c r="C319" s="177" t="s">
        <v>44</v>
      </c>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c r="AA319" s="177"/>
      <c r="AB319" s="177"/>
      <c r="AC319" s="177"/>
      <c r="AD319" s="177"/>
      <c r="AE319" s="177"/>
      <c r="AF319" s="177"/>
      <c r="AG319" s="177"/>
      <c r="AH319" s="177"/>
      <c r="AI319" s="177"/>
      <c r="AJ319" s="177"/>
      <c r="AK319" s="177"/>
      <c r="AL319" s="177"/>
      <c r="AM319" s="32"/>
    </row>
    <row r="320" spans="2:39" ht="13">
      <c r="B320" s="60"/>
      <c r="C320" s="61"/>
      <c r="D320" s="61"/>
      <c r="E320" s="56"/>
      <c r="F320" s="82"/>
      <c r="G320" s="8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row>
    <row r="321" spans="2:76" s="37" customFormat="1" ht="13">
      <c r="B321" s="12"/>
      <c r="C321" s="13"/>
      <c r="D321" s="13"/>
      <c r="E321" s="83"/>
      <c r="F321" s="84"/>
      <c r="G321" s="84"/>
      <c r="AV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95"/>
    </row>
    <row r="322" spans="2:76" ht="14" customHeight="1">
      <c r="B322" s="54" t="s">
        <v>208</v>
      </c>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spans="2:76" ht="5" customHeight="1">
      <c r="B323" s="55"/>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spans="2:76" ht="13">
      <c r="B324" s="64"/>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row>
    <row r="325" spans="2:76" ht="14" customHeight="1">
      <c r="B325" s="32"/>
      <c r="C325" s="231" t="str">
        <f>"% of turnover invested in "&amp;($U$22)</f>
        <v>% of turnover invested in Euro - EUR</v>
      </c>
      <c r="D325" s="232"/>
      <c r="E325" s="233"/>
      <c r="F325" s="169" t="s">
        <v>209</v>
      </c>
      <c r="G325" s="169"/>
      <c r="H325" s="169"/>
      <c r="I325" s="169"/>
      <c r="J325" s="169"/>
      <c r="K325" s="169"/>
      <c r="L325" s="169"/>
      <c r="M325" s="169"/>
      <c r="N325" s="169"/>
      <c r="O325" s="169"/>
      <c r="P325" s="169"/>
      <c r="Q325" s="169"/>
      <c r="R325" s="169"/>
      <c r="S325" s="169"/>
      <c r="T325" s="169"/>
      <c r="U325" s="169"/>
      <c r="V325" s="169"/>
      <c r="W325" s="169"/>
      <c r="X325" s="169"/>
      <c r="Y325" s="169"/>
      <c r="Z325" s="175"/>
      <c r="AA325" s="175"/>
      <c r="AB325" s="175"/>
      <c r="AC325" s="175"/>
      <c r="AD325" s="175"/>
      <c r="AE325" s="175"/>
      <c r="AF325" s="175"/>
      <c r="AG325" s="175"/>
      <c r="AH325" s="175"/>
      <c r="AI325" s="175"/>
      <c r="AJ325" s="175"/>
      <c r="AK325" s="175"/>
      <c r="AL325" s="175"/>
      <c r="AM325" s="32"/>
    </row>
    <row r="326" spans="2:76" ht="14" customHeight="1">
      <c r="B326" s="32"/>
      <c r="C326" s="234"/>
      <c r="D326" s="235"/>
      <c r="E326" s="236"/>
      <c r="F326" s="169" t="s">
        <v>210</v>
      </c>
      <c r="G326" s="169"/>
      <c r="H326" s="169"/>
      <c r="I326" s="169"/>
      <c r="J326" s="169"/>
      <c r="K326" s="169"/>
      <c r="L326" s="169"/>
      <c r="M326" s="169"/>
      <c r="N326" s="169"/>
      <c r="O326" s="169"/>
      <c r="P326" s="169"/>
      <c r="Q326" s="169"/>
      <c r="R326" s="169"/>
      <c r="S326" s="169"/>
      <c r="T326" s="169"/>
      <c r="U326" s="169"/>
      <c r="V326" s="169"/>
      <c r="W326" s="169"/>
      <c r="X326" s="169"/>
      <c r="Y326" s="169"/>
      <c r="Z326" s="175"/>
      <c r="AA326" s="175"/>
      <c r="AB326" s="175"/>
      <c r="AC326" s="175"/>
      <c r="AD326" s="175"/>
      <c r="AE326" s="175"/>
      <c r="AF326" s="175"/>
      <c r="AG326" s="175"/>
      <c r="AH326" s="175"/>
      <c r="AI326" s="175"/>
      <c r="AJ326" s="175"/>
      <c r="AK326" s="175"/>
      <c r="AL326" s="175"/>
      <c r="AM326" s="32"/>
    </row>
    <row r="327" spans="2:76" ht="14" customHeight="1">
      <c r="B327" s="32"/>
      <c r="C327" s="234"/>
      <c r="D327" s="235"/>
      <c r="E327" s="236"/>
      <c r="F327" s="169" t="s">
        <v>211</v>
      </c>
      <c r="G327" s="169"/>
      <c r="H327" s="169"/>
      <c r="I327" s="169"/>
      <c r="J327" s="169"/>
      <c r="K327" s="169"/>
      <c r="L327" s="169"/>
      <c r="M327" s="169"/>
      <c r="N327" s="169"/>
      <c r="O327" s="169"/>
      <c r="P327" s="169"/>
      <c r="Q327" s="169"/>
      <c r="R327" s="169"/>
      <c r="S327" s="169"/>
      <c r="T327" s="169"/>
      <c r="U327" s="169"/>
      <c r="V327" s="169"/>
      <c r="W327" s="169"/>
      <c r="X327" s="169"/>
      <c r="Y327" s="169"/>
      <c r="Z327" s="175"/>
      <c r="AA327" s="175"/>
      <c r="AB327" s="175"/>
      <c r="AC327" s="175"/>
      <c r="AD327" s="175"/>
      <c r="AE327" s="175"/>
      <c r="AF327" s="175"/>
      <c r="AG327" s="175"/>
      <c r="AH327" s="175"/>
      <c r="AI327" s="175"/>
      <c r="AJ327" s="175"/>
      <c r="AK327" s="175"/>
      <c r="AL327" s="175"/>
      <c r="AM327" s="32"/>
    </row>
    <row r="328" spans="2:76" ht="14" customHeight="1">
      <c r="B328" s="32"/>
      <c r="C328" s="234"/>
      <c r="D328" s="235"/>
      <c r="E328" s="236"/>
      <c r="F328" s="169" t="s">
        <v>212</v>
      </c>
      <c r="G328" s="169"/>
      <c r="H328" s="169"/>
      <c r="I328" s="169"/>
      <c r="J328" s="169"/>
      <c r="K328" s="169"/>
      <c r="L328" s="169"/>
      <c r="M328" s="169"/>
      <c r="N328" s="169"/>
      <c r="O328" s="169"/>
      <c r="P328" s="169"/>
      <c r="Q328" s="169"/>
      <c r="R328" s="169"/>
      <c r="S328" s="169"/>
      <c r="T328" s="169"/>
      <c r="U328" s="169"/>
      <c r="V328" s="169"/>
      <c r="W328" s="169"/>
      <c r="X328" s="169"/>
      <c r="Y328" s="169"/>
      <c r="Z328" s="175"/>
      <c r="AA328" s="175"/>
      <c r="AB328" s="175"/>
      <c r="AC328" s="175"/>
      <c r="AD328" s="175"/>
      <c r="AE328" s="175"/>
      <c r="AF328" s="175"/>
      <c r="AG328" s="175"/>
      <c r="AH328" s="175"/>
      <c r="AI328" s="175"/>
      <c r="AJ328" s="175"/>
      <c r="AK328" s="175"/>
      <c r="AL328" s="175"/>
      <c r="AM328" s="32"/>
    </row>
    <row r="329" spans="2:76" ht="14" customHeight="1">
      <c r="B329" s="32"/>
      <c r="C329" s="234"/>
      <c r="D329" s="235"/>
      <c r="E329" s="236"/>
      <c r="F329" s="169" t="s">
        <v>213</v>
      </c>
      <c r="G329" s="169"/>
      <c r="H329" s="169"/>
      <c r="I329" s="169"/>
      <c r="J329" s="169"/>
      <c r="K329" s="169"/>
      <c r="L329" s="169"/>
      <c r="M329" s="169"/>
      <c r="N329" s="169"/>
      <c r="O329" s="169"/>
      <c r="P329" s="169"/>
      <c r="Q329" s="169"/>
      <c r="R329" s="169"/>
      <c r="S329" s="169"/>
      <c r="T329" s="169"/>
      <c r="U329" s="169"/>
      <c r="V329" s="169"/>
      <c r="W329" s="169"/>
      <c r="X329" s="169"/>
      <c r="Y329" s="169"/>
      <c r="Z329" s="175"/>
      <c r="AA329" s="175"/>
      <c r="AB329" s="175"/>
      <c r="AC329" s="175"/>
      <c r="AD329" s="175"/>
      <c r="AE329" s="175"/>
      <c r="AF329" s="175"/>
      <c r="AG329" s="175"/>
      <c r="AH329" s="175"/>
      <c r="AI329" s="175"/>
      <c r="AJ329" s="175"/>
      <c r="AK329" s="175"/>
      <c r="AL329" s="175"/>
      <c r="AM329" s="32"/>
    </row>
    <row r="330" spans="2:76" ht="14" customHeight="1">
      <c r="B330" s="32"/>
      <c r="C330" s="237"/>
      <c r="D330" s="238"/>
      <c r="E330" s="239"/>
      <c r="F330" s="169" t="s">
        <v>27</v>
      </c>
      <c r="G330" s="169"/>
      <c r="H330" s="169"/>
      <c r="I330" s="169"/>
      <c r="J330" s="169"/>
      <c r="K330" s="169"/>
      <c r="L330" s="169"/>
      <c r="M330" s="169"/>
      <c r="N330" s="169"/>
      <c r="O330" s="169"/>
      <c r="P330" s="169"/>
      <c r="Q330" s="169"/>
      <c r="R330" s="169"/>
      <c r="S330" s="169"/>
      <c r="T330" s="169"/>
      <c r="U330" s="169"/>
      <c r="V330" s="169"/>
      <c r="W330" s="169"/>
      <c r="X330" s="169"/>
      <c r="Y330" s="169"/>
      <c r="Z330" s="175"/>
      <c r="AA330" s="175"/>
      <c r="AB330" s="175"/>
      <c r="AC330" s="175"/>
      <c r="AD330" s="175"/>
      <c r="AE330" s="175"/>
      <c r="AF330" s="175"/>
      <c r="AG330" s="175"/>
      <c r="AH330" s="175"/>
      <c r="AI330" s="175"/>
      <c r="AJ330" s="175"/>
      <c r="AK330" s="175"/>
      <c r="AL330" s="175"/>
      <c r="AM330" s="32"/>
    </row>
    <row r="331" spans="2:76" ht="13">
      <c r="B331" s="32"/>
      <c r="C331" s="65"/>
      <c r="D331" s="65"/>
      <c r="E331" s="65"/>
      <c r="F331" s="61"/>
      <c r="G331" s="61"/>
      <c r="H331" s="61"/>
      <c r="I331" s="61"/>
      <c r="J331" s="61"/>
      <c r="K331" s="61"/>
      <c r="L331" s="61"/>
      <c r="M331" s="61"/>
      <c r="N331" s="61"/>
      <c r="O331" s="61"/>
      <c r="P331" s="61"/>
      <c r="Q331" s="61"/>
      <c r="R331" s="61"/>
      <c r="S331" s="61"/>
      <c r="T331" s="61"/>
      <c r="U331" s="61"/>
      <c r="V331" s="61"/>
      <c r="W331" s="61"/>
      <c r="X331" s="61"/>
      <c r="Y331" s="61"/>
      <c r="Z331" s="82"/>
      <c r="AA331" s="82"/>
      <c r="AB331" s="82"/>
      <c r="AC331" s="82"/>
      <c r="AD331" s="82"/>
      <c r="AE331" s="82"/>
      <c r="AF331" s="82"/>
      <c r="AG331" s="82"/>
      <c r="AH331" s="82"/>
      <c r="AI331" s="82"/>
      <c r="AJ331" s="82"/>
      <c r="AK331" s="82"/>
      <c r="AL331" s="82"/>
      <c r="AM331" s="32"/>
    </row>
    <row r="332" spans="2:76" ht="14" customHeight="1">
      <c r="B332" s="32"/>
      <c r="C332" s="165" t="s">
        <v>15</v>
      </c>
      <c r="D332" s="165"/>
      <c r="E332" s="165"/>
      <c r="F332" s="166" t="s">
        <v>46</v>
      </c>
      <c r="G332" s="166"/>
      <c r="H332" s="166"/>
      <c r="I332" s="166"/>
      <c r="J332" s="166"/>
      <c r="K332" s="166"/>
      <c r="L332" s="166"/>
      <c r="M332" s="166"/>
      <c r="N332" s="166"/>
      <c r="O332" s="166"/>
      <c r="P332" s="166"/>
      <c r="Q332" s="166"/>
      <c r="R332" s="166"/>
      <c r="S332" s="166"/>
      <c r="T332" s="166"/>
      <c r="U332" s="166"/>
      <c r="V332" s="166"/>
      <c r="W332" s="166"/>
      <c r="X332" s="166"/>
      <c r="Y332" s="166"/>
      <c r="Z332" s="166" t="s">
        <v>45</v>
      </c>
      <c r="AA332" s="166"/>
      <c r="AB332" s="166"/>
      <c r="AC332" s="166"/>
      <c r="AD332" s="166"/>
      <c r="AE332" s="166"/>
      <c r="AF332" s="166"/>
      <c r="AG332" s="166"/>
      <c r="AH332" s="166"/>
      <c r="AI332" s="166"/>
      <c r="AJ332" s="166"/>
      <c r="AK332" s="166"/>
      <c r="AL332" s="166"/>
      <c r="AM332" s="32"/>
    </row>
    <row r="333" spans="2:76" ht="14" customHeight="1">
      <c r="B333" s="32"/>
      <c r="C333" s="164" t="s">
        <v>16</v>
      </c>
      <c r="D333" s="164"/>
      <c r="E333" s="164"/>
      <c r="F333" s="169" t="s">
        <v>214</v>
      </c>
      <c r="G333" s="169"/>
      <c r="H333" s="169"/>
      <c r="I333" s="169"/>
      <c r="J333" s="169"/>
      <c r="K333" s="169"/>
      <c r="L333" s="169"/>
      <c r="M333" s="169"/>
      <c r="N333" s="169"/>
      <c r="O333" s="169"/>
      <c r="P333" s="169"/>
      <c r="Q333" s="169"/>
      <c r="R333" s="169"/>
      <c r="S333" s="169"/>
      <c r="T333" s="169"/>
      <c r="U333" s="169"/>
      <c r="V333" s="169"/>
      <c r="W333" s="169"/>
      <c r="X333" s="169"/>
      <c r="Y333" s="169"/>
      <c r="Z333" s="167"/>
      <c r="AA333" s="167"/>
      <c r="AB333" s="167"/>
      <c r="AC333" s="167"/>
      <c r="AD333" s="167"/>
      <c r="AE333" s="167"/>
      <c r="AF333" s="167"/>
      <c r="AG333" s="167"/>
      <c r="AH333" s="167"/>
      <c r="AI333" s="167"/>
      <c r="AJ333" s="167"/>
      <c r="AK333" s="167"/>
      <c r="AL333" s="167"/>
      <c r="AM333" s="32"/>
    </row>
    <row r="334" spans="2:76" ht="14" customHeight="1">
      <c r="B334" s="32"/>
      <c r="C334" s="164" t="s">
        <v>17</v>
      </c>
      <c r="D334" s="164"/>
      <c r="E334" s="164"/>
      <c r="F334" s="168" t="s">
        <v>215</v>
      </c>
      <c r="G334" s="168"/>
      <c r="H334" s="168"/>
      <c r="I334" s="168"/>
      <c r="J334" s="168"/>
      <c r="K334" s="168"/>
      <c r="L334" s="168"/>
      <c r="M334" s="168"/>
      <c r="N334" s="168"/>
      <c r="O334" s="168"/>
      <c r="P334" s="168"/>
      <c r="Q334" s="168"/>
      <c r="R334" s="168"/>
      <c r="S334" s="168"/>
      <c r="T334" s="168"/>
      <c r="U334" s="168"/>
      <c r="V334" s="168"/>
      <c r="W334" s="168"/>
      <c r="X334" s="168"/>
      <c r="Y334" s="168"/>
      <c r="Z334" s="167"/>
      <c r="AA334" s="167"/>
      <c r="AB334" s="167"/>
      <c r="AC334" s="167"/>
      <c r="AD334" s="167"/>
      <c r="AE334" s="167"/>
      <c r="AF334" s="167"/>
      <c r="AG334" s="167"/>
      <c r="AH334" s="167"/>
      <c r="AI334" s="167"/>
      <c r="AJ334" s="167"/>
      <c r="AK334" s="167"/>
      <c r="AL334" s="167"/>
      <c r="AM334" s="32"/>
    </row>
    <row r="335" spans="2:76" ht="14" customHeight="1">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row>
    <row r="336" spans="2:76" s="37" customFormat="1" ht="14" customHeight="1">
      <c r="AV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95"/>
    </row>
    <row r="337" spans="2:39" ht="14" customHeight="1">
      <c r="B337" s="54" t="s">
        <v>39</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sheetData>
  <mergeCells count="747">
    <mergeCell ref="C263:H263"/>
    <mergeCell ref="I263:N263"/>
    <mergeCell ref="O263:T263"/>
    <mergeCell ref="U263:Z263"/>
    <mergeCell ref="AA263:AF263"/>
    <mergeCell ref="AG263:AL263"/>
    <mergeCell ref="C261:H261"/>
    <mergeCell ref="I261:N261"/>
    <mergeCell ref="O261:T261"/>
    <mergeCell ref="U261:Z261"/>
    <mergeCell ref="AA261:AF261"/>
    <mergeCell ref="AG261:AL261"/>
    <mergeCell ref="C262:H262"/>
    <mergeCell ref="I262:N262"/>
    <mergeCell ref="O262:T262"/>
    <mergeCell ref="U262:Z262"/>
    <mergeCell ref="AA262:AF262"/>
    <mergeCell ref="AG262:AL262"/>
    <mergeCell ref="C259:H259"/>
    <mergeCell ref="I259:N259"/>
    <mergeCell ref="O259:T259"/>
    <mergeCell ref="U259:Z259"/>
    <mergeCell ref="AA259:AF259"/>
    <mergeCell ref="AG259:AL259"/>
    <mergeCell ref="C260:H260"/>
    <mergeCell ref="I260:N260"/>
    <mergeCell ref="O260:T260"/>
    <mergeCell ref="U260:Z260"/>
    <mergeCell ref="AA260:AF260"/>
    <mergeCell ref="AG260:AL260"/>
    <mergeCell ref="C257:H257"/>
    <mergeCell ref="I257:N257"/>
    <mergeCell ref="O257:T257"/>
    <mergeCell ref="U257:Z257"/>
    <mergeCell ref="AA257:AF257"/>
    <mergeCell ref="AG257:AL257"/>
    <mergeCell ref="C258:H258"/>
    <mergeCell ref="I258:N258"/>
    <mergeCell ref="O258:T258"/>
    <mergeCell ref="U258:Z258"/>
    <mergeCell ref="AA258:AF258"/>
    <mergeCell ref="AG258:AL258"/>
    <mergeCell ref="C255:H255"/>
    <mergeCell ref="I255:N255"/>
    <mergeCell ref="O255:T255"/>
    <mergeCell ref="U255:Z255"/>
    <mergeCell ref="AA255:AF255"/>
    <mergeCell ref="AG255:AL255"/>
    <mergeCell ref="C256:H256"/>
    <mergeCell ref="I256:N256"/>
    <mergeCell ref="O256:T256"/>
    <mergeCell ref="U256:Z256"/>
    <mergeCell ref="AA256:AF256"/>
    <mergeCell ref="AG256:AL256"/>
    <mergeCell ref="C253:H253"/>
    <mergeCell ref="I253:N253"/>
    <mergeCell ref="O253:T253"/>
    <mergeCell ref="U253:Z253"/>
    <mergeCell ref="AA253:AF253"/>
    <mergeCell ref="AG253:AL253"/>
    <mergeCell ref="C254:H254"/>
    <mergeCell ref="I254:N254"/>
    <mergeCell ref="O254:T254"/>
    <mergeCell ref="U254:Z254"/>
    <mergeCell ref="AA254:AF254"/>
    <mergeCell ref="AG254:AL254"/>
    <mergeCell ref="C251:H251"/>
    <mergeCell ref="I251:N251"/>
    <mergeCell ref="O251:T251"/>
    <mergeCell ref="U251:Z251"/>
    <mergeCell ref="AA251:AF251"/>
    <mergeCell ref="AG251:AL251"/>
    <mergeCell ref="C252:H252"/>
    <mergeCell ref="I252:N252"/>
    <mergeCell ref="O252:T252"/>
    <mergeCell ref="U252:Z252"/>
    <mergeCell ref="AA252:AF252"/>
    <mergeCell ref="AG252:AL252"/>
    <mergeCell ref="C249:H249"/>
    <mergeCell ref="I249:N249"/>
    <mergeCell ref="O249:T249"/>
    <mergeCell ref="U249:Z249"/>
    <mergeCell ref="AA249:AF249"/>
    <mergeCell ref="AG249:AL249"/>
    <mergeCell ref="C250:H250"/>
    <mergeCell ref="I250:N250"/>
    <mergeCell ref="O250:T250"/>
    <mergeCell ref="U250:Z250"/>
    <mergeCell ref="AA250:AF250"/>
    <mergeCell ref="AG250:AL250"/>
    <mergeCell ref="E247:F247"/>
    <mergeCell ref="I247:N247"/>
    <mergeCell ref="O247:T247"/>
    <mergeCell ref="U247:Z247"/>
    <mergeCell ref="AA247:AF247"/>
    <mergeCell ref="AG247:AL247"/>
    <mergeCell ref="C248:H248"/>
    <mergeCell ref="I248:N248"/>
    <mergeCell ref="O248:T248"/>
    <mergeCell ref="U248:Z248"/>
    <mergeCell ref="AA248:AF248"/>
    <mergeCell ref="AG248:AL248"/>
    <mergeCell ref="C96:D96"/>
    <mergeCell ref="C97:N97"/>
    <mergeCell ref="O97:U97"/>
    <mergeCell ref="C149:AL149"/>
    <mergeCell ref="C150:AL150"/>
    <mergeCell ref="C152:AL152"/>
    <mergeCell ref="C153:AL153"/>
    <mergeCell ref="C155:AL155"/>
    <mergeCell ref="C156:AL156"/>
    <mergeCell ref="C94:L94"/>
    <mergeCell ref="M94:R94"/>
    <mergeCell ref="S94:U94"/>
    <mergeCell ref="V94:AA94"/>
    <mergeCell ref="AB94:AH94"/>
    <mergeCell ref="C95:L95"/>
    <mergeCell ref="M95:R95"/>
    <mergeCell ref="S95:U95"/>
    <mergeCell ref="V95:AA95"/>
    <mergeCell ref="AB95:AH95"/>
    <mergeCell ref="C90:L90"/>
    <mergeCell ref="M90:R90"/>
    <mergeCell ref="S90:U90"/>
    <mergeCell ref="V90:AA90"/>
    <mergeCell ref="AB90:AH90"/>
    <mergeCell ref="C91:L91"/>
    <mergeCell ref="M91:R91"/>
    <mergeCell ref="S91:U91"/>
    <mergeCell ref="V91:AA91"/>
    <mergeCell ref="AB91:AH91"/>
    <mergeCell ref="C80:G80"/>
    <mergeCell ref="H80:L80"/>
    <mergeCell ref="M80:R80"/>
    <mergeCell ref="S80:U80"/>
    <mergeCell ref="V80:AA80"/>
    <mergeCell ref="AB80:AH80"/>
    <mergeCell ref="AI80:AL80"/>
    <mergeCell ref="C85:AF85"/>
    <mergeCell ref="C87:L87"/>
    <mergeCell ref="M77:R77"/>
    <mergeCell ref="S77:U77"/>
    <mergeCell ref="V77:AA77"/>
    <mergeCell ref="AB77:AH77"/>
    <mergeCell ref="AI77:AL77"/>
    <mergeCell ref="C78:G78"/>
    <mergeCell ref="H78:L78"/>
    <mergeCell ref="M78:R78"/>
    <mergeCell ref="S78:U78"/>
    <mergeCell ref="V78:AA78"/>
    <mergeCell ref="AB78:AH78"/>
    <mergeCell ref="AI78:AL78"/>
    <mergeCell ref="C70:D71"/>
    <mergeCell ref="E70:I70"/>
    <mergeCell ref="K70:N70"/>
    <mergeCell ref="O70:R70"/>
    <mergeCell ref="S70:V70"/>
    <mergeCell ref="W70:Z70"/>
    <mergeCell ref="AA70:AD70"/>
    <mergeCell ref="AE70:AH70"/>
    <mergeCell ref="AI70:AL70"/>
    <mergeCell ref="E71:I71"/>
    <mergeCell ref="K71:N71"/>
    <mergeCell ref="O71:R71"/>
    <mergeCell ref="S71:V71"/>
    <mergeCell ref="W71:Z71"/>
    <mergeCell ref="AA71:AD71"/>
    <mergeCell ref="AE71:AH71"/>
    <mergeCell ref="AI71:AL71"/>
    <mergeCell ref="C68:D69"/>
    <mergeCell ref="E68:I68"/>
    <mergeCell ref="K68:N68"/>
    <mergeCell ref="O68:R68"/>
    <mergeCell ref="S68:V68"/>
    <mergeCell ref="W68:Z68"/>
    <mergeCell ref="AA68:AD68"/>
    <mergeCell ref="AE68:AH68"/>
    <mergeCell ref="AI68:AL68"/>
    <mergeCell ref="E69:I69"/>
    <mergeCell ref="K69:N69"/>
    <mergeCell ref="O69:R69"/>
    <mergeCell ref="S69:V69"/>
    <mergeCell ref="W69:Z69"/>
    <mergeCell ref="AA69:AD69"/>
    <mergeCell ref="AE69:AH69"/>
    <mergeCell ref="AI69:AL69"/>
    <mergeCell ref="C66:D67"/>
    <mergeCell ref="E66:I66"/>
    <mergeCell ref="K66:N66"/>
    <mergeCell ref="O66:R66"/>
    <mergeCell ref="S66:V66"/>
    <mergeCell ref="W66:Z66"/>
    <mergeCell ref="AA66:AD66"/>
    <mergeCell ref="AE66:AH66"/>
    <mergeCell ref="AI66:AL66"/>
    <mergeCell ref="E67:I67"/>
    <mergeCell ref="K67:N67"/>
    <mergeCell ref="O67:R67"/>
    <mergeCell ref="S67:V67"/>
    <mergeCell ref="W67:Z67"/>
    <mergeCell ref="AA67:AD67"/>
    <mergeCell ref="AE67:AH67"/>
    <mergeCell ref="AI67:AL67"/>
    <mergeCell ref="C64:D65"/>
    <mergeCell ref="E64:I64"/>
    <mergeCell ref="K64:N64"/>
    <mergeCell ref="O64:R64"/>
    <mergeCell ref="S64:V64"/>
    <mergeCell ref="W64:Z64"/>
    <mergeCell ref="AA64:AD64"/>
    <mergeCell ref="AE64:AH64"/>
    <mergeCell ref="AI64:AL64"/>
    <mergeCell ref="E65:I65"/>
    <mergeCell ref="K65:N65"/>
    <mergeCell ref="O65:R65"/>
    <mergeCell ref="S65:V65"/>
    <mergeCell ref="W65:Z65"/>
    <mergeCell ref="AA65:AD65"/>
    <mergeCell ref="AE65:AH65"/>
    <mergeCell ref="AI65:AL65"/>
    <mergeCell ref="K61:N61"/>
    <mergeCell ref="O61:R61"/>
    <mergeCell ref="S61:V61"/>
    <mergeCell ref="W61:Z61"/>
    <mergeCell ref="AA61:AD61"/>
    <mergeCell ref="AE61:AH61"/>
    <mergeCell ref="AI61:AL61"/>
    <mergeCell ref="C62:D63"/>
    <mergeCell ref="E62:I62"/>
    <mergeCell ref="K62:N62"/>
    <mergeCell ref="O62:R62"/>
    <mergeCell ref="S62:V62"/>
    <mergeCell ref="W62:Z62"/>
    <mergeCell ref="AA62:AD62"/>
    <mergeCell ref="AE62:AH62"/>
    <mergeCell ref="AI62:AL62"/>
    <mergeCell ref="E63:I63"/>
    <mergeCell ref="K63:N63"/>
    <mergeCell ref="O63:R63"/>
    <mergeCell ref="S63:V63"/>
    <mergeCell ref="W63:Z63"/>
    <mergeCell ref="AA63:AD63"/>
    <mergeCell ref="AE63:AH63"/>
    <mergeCell ref="AI63:AL63"/>
    <mergeCell ref="C53:H53"/>
    <mergeCell ref="I53:N53"/>
    <mergeCell ref="O53:T53"/>
    <mergeCell ref="U53:Z53"/>
    <mergeCell ref="AA53:AF53"/>
    <mergeCell ref="AG53:AL53"/>
    <mergeCell ref="C55:H55"/>
    <mergeCell ref="I55:N55"/>
    <mergeCell ref="K58:AM58"/>
    <mergeCell ref="O31:T31"/>
    <mergeCell ref="U31:Z31"/>
    <mergeCell ref="C49:H49"/>
    <mergeCell ref="I49:N49"/>
    <mergeCell ref="O49:T49"/>
    <mergeCell ref="U49:Z49"/>
    <mergeCell ref="AA49:AF49"/>
    <mergeCell ref="AG49:AL49"/>
    <mergeCell ref="C51:H51"/>
    <mergeCell ref="I51:N51"/>
    <mergeCell ref="O51:T51"/>
    <mergeCell ref="U51:Z51"/>
    <mergeCell ref="AA51:AF51"/>
    <mergeCell ref="AG51:AL51"/>
    <mergeCell ref="C9:H10"/>
    <mergeCell ref="I9:N10"/>
    <mergeCell ref="O9:T10"/>
    <mergeCell ref="U9:Z10"/>
    <mergeCell ref="AA9:AF10"/>
    <mergeCell ref="AG9:AL10"/>
    <mergeCell ref="C12:H13"/>
    <mergeCell ref="I12:N13"/>
    <mergeCell ref="O12:T13"/>
    <mergeCell ref="U12:Z13"/>
    <mergeCell ref="AA12:AF13"/>
    <mergeCell ref="AG12:AL13"/>
    <mergeCell ref="L209:T209"/>
    <mergeCell ref="U209:AC209"/>
    <mergeCell ref="AD209:AL209"/>
    <mergeCell ref="L210:T210"/>
    <mergeCell ref="L216:T216"/>
    <mergeCell ref="L218:T218"/>
    <mergeCell ref="U218:AC218"/>
    <mergeCell ref="AD216:AL216"/>
    <mergeCell ref="L211:T211"/>
    <mergeCell ref="U211:AC211"/>
    <mergeCell ref="AD211:AL211"/>
    <mergeCell ref="L212:T212"/>
    <mergeCell ref="L214:T214"/>
    <mergeCell ref="U214:AC214"/>
    <mergeCell ref="AD214:AL214"/>
    <mergeCell ref="L215:T215"/>
    <mergeCell ref="U215:AC215"/>
    <mergeCell ref="AD237:AL237"/>
    <mergeCell ref="AD238:AL238"/>
    <mergeCell ref="AD239:AL239"/>
    <mergeCell ref="AD240:AL240"/>
    <mergeCell ref="AD241:AL241"/>
    <mergeCell ref="C237:K237"/>
    <mergeCell ref="L237:T237"/>
    <mergeCell ref="C238:K238"/>
    <mergeCell ref="L238:T238"/>
    <mergeCell ref="P108:W108"/>
    <mergeCell ref="AA189:AL189"/>
    <mergeCell ref="B206:K206"/>
    <mergeCell ref="L206:T206"/>
    <mergeCell ref="U206:AC206"/>
    <mergeCell ref="AD206:AL206"/>
    <mergeCell ref="AD198:AL198"/>
    <mergeCell ref="U198:AC198"/>
    <mergeCell ref="L198:T198"/>
    <mergeCell ref="L199:AL199"/>
    <mergeCell ref="B200:K200"/>
    <mergeCell ref="B201:K201"/>
    <mergeCell ref="B202:K202"/>
    <mergeCell ref="B204:K204"/>
    <mergeCell ref="B205:K205"/>
    <mergeCell ref="P106:W106"/>
    <mergeCell ref="C122:M122"/>
    <mergeCell ref="P116:Y116"/>
    <mergeCell ref="P117:Y117"/>
    <mergeCell ref="P119:Y119"/>
    <mergeCell ref="P120:Y120"/>
    <mergeCell ref="C158:AL158"/>
    <mergeCell ref="C159:AL159"/>
    <mergeCell ref="P110:W110"/>
    <mergeCell ref="P109:W109"/>
    <mergeCell ref="X106:Y106"/>
    <mergeCell ref="X107:Y107"/>
    <mergeCell ref="X108:Y108"/>
    <mergeCell ref="X109:Y109"/>
    <mergeCell ref="X110:Y110"/>
    <mergeCell ref="L105:M105"/>
    <mergeCell ref="L106:M106"/>
    <mergeCell ref="L107:M107"/>
    <mergeCell ref="L108:M108"/>
    <mergeCell ref="L109:M109"/>
    <mergeCell ref="L110:M110"/>
    <mergeCell ref="P107:W107"/>
    <mergeCell ref="C188:N188"/>
    <mergeCell ref="C187:N187"/>
    <mergeCell ref="C186:N186"/>
    <mergeCell ref="C171:AL172"/>
    <mergeCell ref="C281:AL281"/>
    <mergeCell ref="B207:K207"/>
    <mergeCell ref="L207:T207"/>
    <mergeCell ref="U207:AC207"/>
    <mergeCell ref="AD207:AL207"/>
    <mergeCell ref="U210:AC210"/>
    <mergeCell ref="AD215:AL215"/>
    <mergeCell ref="U216:AC216"/>
    <mergeCell ref="C212:K212"/>
    <mergeCell ref="C213:K213"/>
    <mergeCell ref="C214:K214"/>
    <mergeCell ref="C215:K215"/>
    <mergeCell ref="C216:K216"/>
    <mergeCell ref="C217:K217"/>
    <mergeCell ref="L217:T217"/>
    <mergeCell ref="U217:AC217"/>
    <mergeCell ref="AD217:AL217"/>
    <mergeCell ref="U240:AC240"/>
    <mergeCell ref="U241:AC241"/>
    <mergeCell ref="L232:T232"/>
    <mergeCell ref="B2:F2"/>
    <mergeCell ref="C269:AL269"/>
    <mergeCell ref="AB116:AK116"/>
    <mergeCell ref="AA188:AL188"/>
    <mergeCell ref="AA187:AL187"/>
    <mergeCell ref="C316:E316"/>
    <mergeCell ref="C315:E315"/>
    <mergeCell ref="C314:E314"/>
    <mergeCell ref="C313:E313"/>
    <mergeCell ref="C312:E312"/>
    <mergeCell ref="C305:E305"/>
    <mergeCell ref="C304:E304"/>
    <mergeCell ref="C303:E303"/>
    <mergeCell ref="C302:E302"/>
    <mergeCell ref="O190:Z190"/>
    <mergeCell ref="O189:Z189"/>
    <mergeCell ref="C275:AL275"/>
    <mergeCell ref="L203:T203"/>
    <mergeCell ref="U203:AC203"/>
    <mergeCell ref="AD203:AL203"/>
    <mergeCell ref="L204:T204"/>
    <mergeCell ref="U204:AC204"/>
    <mergeCell ref="AD204:AL204"/>
    <mergeCell ref="L205:T205"/>
    <mergeCell ref="U205:AC205"/>
    <mergeCell ref="AD205:AL205"/>
    <mergeCell ref="C221:R221"/>
    <mergeCell ref="C272:AL272"/>
    <mergeCell ref="C190:N190"/>
    <mergeCell ref="C189:N189"/>
    <mergeCell ref="U232:AC232"/>
    <mergeCell ref="U233:AC233"/>
    <mergeCell ref="U237:AC237"/>
    <mergeCell ref="U238:AC238"/>
    <mergeCell ref="U239:AC239"/>
    <mergeCell ref="AD218:AL218"/>
    <mergeCell ref="L219:T219"/>
    <mergeCell ref="U219:AC219"/>
    <mergeCell ref="C116:M116"/>
    <mergeCell ref="C117:M117"/>
    <mergeCell ref="C119:M119"/>
    <mergeCell ref="C120:M120"/>
    <mergeCell ref="C115:AL115"/>
    <mergeCell ref="C118:AL118"/>
    <mergeCell ref="C121:AL121"/>
    <mergeCell ref="O122:Y122"/>
    <mergeCell ref="AA186:AL186"/>
    <mergeCell ref="AA185:AL185"/>
    <mergeCell ref="C166:AL166"/>
    <mergeCell ref="C169:AL169"/>
    <mergeCell ref="C165:AL165"/>
    <mergeCell ref="C168:AL168"/>
    <mergeCell ref="C170:AL170"/>
    <mergeCell ref="C174:AL174"/>
    <mergeCell ref="C175:AL175"/>
    <mergeCell ref="C311:E311"/>
    <mergeCell ref="C301:E301"/>
    <mergeCell ref="C295:E295"/>
    <mergeCell ref="C294:E294"/>
    <mergeCell ref="C293:E293"/>
    <mergeCell ref="C292:E292"/>
    <mergeCell ref="O188:Z188"/>
    <mergeCell ref="O187:Z187"/>
    <mergeCell ref="AB105:AI105"/>
    <mergeCell ref="C110:K110"/>
    <mergeCell ref="C109:K109"/>
    <mergeCell ref="C108:K108"/>
    <mergeCell ref="C107:K107"/>
    <mergeCell ref="C181:X181"/>
    <mergeCell ref="X105:Y105"/>
    <mergeCell ref="AG38:AL38"/>
    <mergeCell ref="O39:T39"/>
    <mergeCell ref="C5:G5"/>
    <mergeCell ref="E37:F37"/>
    <mergeCell ref="C19:H20"/>
    <mergeCell ref="I19:N20"/>
    <mergeCell ref="O19:T20"/>
    <mergeCell ref="U19:Z20"/>
    <mergeCell ref="AA19:AF20"/>
    <mergeCell ref="AG19:AL20"/>
    <mergeCell ref="AG43:AL43"/>
    <mergeCell ref="O29:T29"/>
    <mergeCell ref="C22:H23"/>
    <mergeCell ref="I22:N23"/>
    <mergeCell ref="O22:T23"/>
    <mergeCell ref="U22:Z23"/>
    <mergeCell ref="AA22:AF23"/>
    <mergeCell ref="AG22:AL23"/>
    <mergeCell ref="C29:H29"/>
    <mergeCell ref="AA29:AF29"/>
    <mergeCell ref="AG29:AL29"/>
    <mergeCell ref="U29:Z29"/>
    <mergeCell ref="I29:N29"/>
    <mergeCell ref="C41:H41"/>
    <mergeCell ref="C42:H42"/>
    <mergeCell ref="C43:H43"/>
    <mergeCell ref="C31:H31"/>
    <mergeCell ref="I31:N31"/>
    <mergeCell ref="AG40:AL40"/>
    <mergeCell ref="U41:Z41"/>
    <mergeCell ref="C38:H38"/>
    <mergeCell ref="C39:H39"/>
    <mergeCell ref="C40:H40"/>
    <mergeCell ref="AG42:AL42"/>
    <mergeCell ref="O37:T37"/>
    <mergeCell ref="U37:Z37"/>
    <mergeCell ref="AA37:AF37"/>
    <mergeCell ref="O40:T40"/>
    <mergeCell ref="U40:Z40"/>
    <mergeCell ref="AA40:AF40"/>
    <mergeCell ref="U39:Z39"/>
    <mergeCell ref="AA39:AF39"/>
    <mergeCell ref="AG39:AL39"/>
    <mergeCell ref="AA41:AF41"/>
    <mergeCell ref="AG41:AL41"/>
    <mergeCell ref="AG37:AL37"/>
    <mergeCell ref="H74:L74"/>
    <mergeCell ref="M74:R74"/>
    <mergeCell ref="S74:U74"/>
    <mergeCell ref="V74:AA74"/>
    <mergeCell ref="AB74:AH74"/>
    <mergeCell ref="AI74:AL74"/>
    <mergeCell ref="H75:L75"/>
    <mergeCell ref="M75:R75"/>
    <mergeCell ref="S75:U75"/>
    <mergeCell ref="V75:AA75"/>
    <mergeCell ref="AB75:AH75"/>
    <mergeCell ref="AI75:AL75"/>
    <mergeCell ref="U202:AC202"/>
    <mergeCell ref="AD202:AL202"/>
    <mergeCell ref="I37:N37"/>
    <mergeCell ref="AA42:AF42"/>
    <mergeCell ref="AA38:AF38"/>
    <mergeCell ref="I43:N43"/>
    <mergeCell ref="O41:T41"/>
    <mergeCell ref="O43:T43"/>
    <mergeCell ref="U43:Z43"/>
    <mergeCell ref="AA43:AF43"/>
    <mergeCell ref="I42:N42"/>
    <mergeCell ref="O42:T42"/>
    <mergeCell ref="U42:Z42"/>
    <mergeCell ref="I38:N38"/>
    <mergeCell ref="I39:N39"/>
    <mergeCell ref="I40:N40"/>
    <mergeCell ref="I41:N41"/>
    <mergeCell ref="O38:T38"/>
    <mergeCell ref="U38:Z38"/>
    <mergeCell ref="AC305:AL305"/>
    <mergeCell ref="AC304:AL304"/>
    <mergeCell ref="AC303:AL303"/>
    <mergeCell ref="AC302:AL302"/>
    <mergeCell ref="AC301:AL301"/>
    <mergeCell ref="B203:K203"/>
    <mergeCell ref="U212:AC212"/>
    <mergeCell ref="AD212:AL212"/>
    <mergeCell ref="L213:T213"/>
    <mergeCell ref="U213:AC213"/>
    <mergeCell ref="AD213:AL213"/>
    <mergeCell ref="AD210:AL210"/>
    <mergeCell ref="C218:K218"/>
    <mergeCell ref="C219:K219"/>
    <mergeCell ref="C209:K209"/>
    <mergeCell ref="C210:K210"/>
    <mergeCell ref="C211:K211"/>
    <mergeCell ref="C291:E291"/>
    <mergeCell ref="C284:AL284"/>
    <mergeCell ref="C280:AL280"/>
    <mergeCell ref="AD219:AL219"/>
    <mergeCell ref="C223:Q223"/>
    <mergeCell ref="U223:AC223"/>
    <mergeCell ref="U221:AC221"/>
    <mergeCell ref="Z305:AB305"/>
    <mergeCell ref="Z304:AB304"/>
    <mergeCell ref="F294:Y294"/>
    <mergeCell ref="F293:Y293"/>
    <mergeCell ref="F292:Y292"/>
    <mergeCell ref="F291:Y291"/>
    <mergeCell ref="Z299:AB299"/>
    <mergeCell ref="Z298:AB298"/>
    <mergeCell ref="Z297:AB297"/>
    <mergeCell ref="Z296:AB296"/>
    <mergeCell ref="Z295:AB295"/>
    <mergeCell ref="Z294:AB294"/>
    <mergeCell ref="Z301:AB301"/>
    <mergeCell ref="Z300:AB300"/>
    <mergeCell ref="F305:Y305"/>
    <mergeCell ref="F303:Y303"/>
    <mergeCell ref="F302:Y302"/>
    <mergeCell ref="F301:Y301"/>
    <mergeCell ref="F295:Y295"/>
    <mergeCell ref="AC300:AL300"/>
    <mergeCell ref="AC299:AL299"/>
    <mergeCell ref="AC298:AL298"/>
    <mergeCell ref="AC297:AL297"/>
    <mergeCell ref="AC296:AL296"/>
    <mergeCell ref="AC295:AL295"/>
    <mergeCell ref="AC291:AL291"/>
    <mergeCell ref="AC290:AL290"/>
    <mergeCell ref="F296:M300"/>
    <mergeCell ref="N300:Y300"/>
    <mergeCell ref="N299:Y299"/>
    <mergeCell ref="N298:Y298"/>
    <mergeCell ref="N297:Y297"/>
    <mergeCell ref="AC294:AL294"/>
    <mergeCell ref="AC293:AL293"/>
    <mergeCell ref="AC292:AL292"/>
    <mergeCell ref="C278:AL278"/>
    <mergeCell ref="F290:AB290"/>
    <mergeCell ref="C296:E300"/>
    <mergeCell ref="C290:E290"/>
    <mergeCell ref="AD200:AL200"/>
    <mergeCell ref="U200:AC200"/>
    <mergeCell ref="L200:T200"/>
    <mergeCell ref="L201:T201"/>
    <mergeCell ref="U201:AC201"/>
    <mergeCell ref="AD201:AL201"/>
    <mergeCell ref="L202:T202"/>
    <mergeCell ref="AC316:AL316"/>
    <mergeCell ref="C318:AL318"/>
    <mergeCell ref="C319:AL319"/>
    <mergeCell ref="C185:N185"/>
    <mergeCell ref="AA190:AL190"/>
    <mergeCell ref="C106:K106"/>
    <mergeCell ref="C105:K105"/>
    <mergeCell ref="F112:G112"/>
    <mergeCell ref="C114:AL114"/>
    <mergeCell ref="AJ110:AK110"/>
    <mergeCell ref="AJ109:AK109"/>
    <mergeCell ref="AJ108:AK108"/>
    <mergeCell ref="AJ107:AK107"/>
    <mergeCell ref="AJ106:AK106"/>
    <mergeCell ref="AJ105:AK105"/>
    <mergeCell ref="AB110:AI110"/>
    <mergeCell ref="AB109:AI109"/>
    <mergeCell ref="AB108:AI108"/>
    <mergeCell ref="AB107:AI107"/>
    <mergeCell ref="AB106:AI106"/>
    <mergeCell ref="Z330:AL330"/>
    <mergeCell ref="Z329:AL329"/>
    <mergeCell ref="Z328:AL328"/>
    <mergeCell ref="Z327:AL327"/>
    <mergeCell ref="Z326:AL326"/>
    <mergeCell ref="Z325:AL325"/>
    <mergeCell ref="F330:Y330"/>
    <mergeCell ref="F329:Y329"/>
    <mergeCell ref="F328:Y328"/>
    <mergeCell ref="F327:Y327"/>
    <mergeCell ref="F326:Y326"/>
    <mergeCell ref="F325:Y325"/>
    <mergeCell ref="AC313:AL313"/>
    <mergeCell ref="AC312:AL312"/>
    <mergeCell ref="Z312:AB312"/>
    <mergeCell ref="Z313:AB313"/>
    <mergeCell ref="Z314:AB314"/>
    <mergeCell ref="Z315:AB315"/>
    <mergeCell ref="F311:AB311"/>
    <mergeCell ref="F315:Y315"/>
    <mergeCell ref="F314:Y314"/>
    <mergeCell ref="AC311:AL311"/>
    <mergeCell ref="F313:Y313"/>
    <mergeCell ref="F312:Y312"/>
    <mergeCell ref="M4:AA4"/>
    <mergeCell ref="C334:E334"/>
    <mergeCell ref="C333:E333"/>
    <mergeCell ref="C332:E332"/>
    <mergeCell ref="Z332:AL332"/>
    <mergeCell ref="Z334:AL334"/>
    <mergeCell ref="Z333:AL333"/>
    <mergeCell ref="F334:Y334"/>
    <mergeCell ref="F333:Y333"/>
    <mergeCell ref="F332:Y332"/>
    <mergeCell ref="O186:Z186"/>
    <mergeCell ref="O185:Z185"/>
    <mergeCell ref="C325:E330"/>
    <mergeCell ref="Z316:AB316"/>
    <mergeCell ref="F316:Y316"/>
    <mergeCell ref="N296:Y296"/>
    <mergeCell ref="Z303:AB303"/>
    <mergeCell ref="Z302:AB302"/>
    <mergeCell ref="F304:Y304"/>
    <mergeCell ref="Z293:AB293"/>
    <mergeCell ref="Z292:AB292"/>
    <mergeCell ref="Z291:AB291"/>
    <mergeCell ref="AC315:AL315"/>
    <mergeCell ref="AC314:AL314"/>
    <mergeCell ref="C74:G74"/>
    <mergeCell ref="C75:G75"/>
    <mergeCell ref="C76:G76"/>
    <mergeCell ref="H76:L76"/>
    <mergeCell ref="M76:R76"/>
    <mergeCell ref="S76:U76"/>
    <mergeCell ref="V76:AA76"/>
    <mergeCell ref="AB76:AH76"/>
    <mergeCell ref="AI76:AL76"/>
    <mergeCell ref="C77:G77"/>
    <mergeCell ref="H77:L77"/>
    <mergeCell ref="C79:G79"/>
    <mergeCell ref="H79:L79"/>
    <mergeCell ref="M79:R79"/>
    <mergeCell ref="S79:U79"/>
    <mergeCell ref="V79:AA79"/>
    <mergeCell ref="AB79:AH79"/>
    <mergeCell ref="AI79:AL79"/>
    <mergeCell ref="C89:L89"/>
    <mergeCell ref="M89:R89"/>
    <mergeCell ref="S89:U89"/>
    <mergeCell ref="V89:AA89"/>
    <mergeCell ref="AB89:AH89"/>
    <mergeCell ref="C92:L92"/>
    <mergeCell ref="M92:R92"/>
    <mergeCell ref="S92:U92"/>
    <mergeCell ref="V92:AA92"/>
    <mergeCell ref="AB92:AH92"/>
    <mergeCell ref="C93:L93"/>
    <mergeCell ref="M93:R93"/>
    <mergeCell ref="S93:U93"/>
    <mergeCell ref="V93:AA93"/>
    <mergeCell ref="AB93:AH93"/>
    <mergeCell ref="AA117:AK117"/>
    <mergeCell ref="L208:AL208"/>
    <mergeCell ref="P105:W105"/>
    <mergeCell ref="C104:AL104"/>
    <mergeCell ref="C239:K239"/>
    <mergeCell ref="L239:T239"/>
    <mergeCell ref="C240:K240"/>
    <mergeCell ref="L240:T240"/>
    <mergeCell ref="C241:K241"/>
    <mergeCell ref="L241:T241"/>
    <mergeCell ref="U234:AC234"/>
    <mergeCell ref="U235:AC235"/>
    <mergeCell ref="U236:AC236"/>
    <mergeCell ref="AD234:AL234"/>
    <mergeCell ref="AD235:AL235"/>
    <mergeCell ref="AD236:AL236"/>
    <mergeCell ref="C229:AL230"/>
    <mergeCell ref="L234:T234"/>
    <mergeCell ref="L235:T235"/>
    <mergeCell ref="L236:T236"/>
    <mergeCell ref="C233:K233"/>
    <mergeCell ref="L233:T233"/>
    <mergeCell ref="AD232:AL232"/>
    <mergeCell ref="AD233:AL233"/>
    <mergeCell ref="C232:K232"/>
    <mergeCell ref="U138:AC138"/>
    <mergeCell ref="AD138:AL138"/>
    <mergeCell ref="C133:K133"/>
    <mergeCell ref="L133:T133"/>
    <mergeCell ref="U133:AC133"/>
    <mergeCell ref="AD133:AL133"/>
    <mergeCell ref="C134:K134"/>
    <mergeCell ref="L134:T134"/>
    <mergeCell ref="U134:AC134"/>
    <mergeCell ref="AD134:AL134"/>
    <mergeCell ref="C135:K135"/>
    <mergeCell ref="L135:T135"/>
    <mergeCell ref="U135:AC135"/>
    <mergeCell ref="AD135:AL135"/>
    <mergeCell ref="C131:AC131"/>
    <mergeCell ref="C128:AH129"/>
    <mergeCell ref="C143:K143"/>
    <mergeCell ref="L143:T143"/>
    <mergeCell ref="U143:AC143"/>
    <mergeCell ref="AD143:AL143"/>
    <mergeCell ref="U139:AC139"/>
    <mergeCell ref="AD139:AL139"/>
    <mergeCell ref="U140:AC140"/>
    <mergeCell ref="AD140:AL140"/>
    <mergeCell ref="U141:AC141"/>
    <mergeCell ref="AD141:AL141"/>
    <mergeCell ref="U142:AC142"/>
    <mergeCell ref="AD142:AL142"/>
    <mergeCell ref="C136:K136"/>
    <mergeCell ref="L136:T136"/>
    <mergeCell ref="U136:AC136"/>
    <mergeCell ref="AD136:AL136"/>
    <mergeCell ref="C137:K137"/>
    <mergeCell ref="L137:T137"/>
    <mergeCell ref="U137:AC137"/>
    <mergeCell ref="AD137:AL137"/>
    <mergeCell ref="C138:K138"/>
    <mergeCell ref="L138:T138"/>
  </mergeCells>
  <conditionalFormatting sqref="F112:G112">
    <cfRule type="expression" dxfId="20" priority="45">
      <formula>AND($F$112&gt;100%)</formula>
    </cfRule>
  </conditionalFormatting>
  <conditionalFormatting sqref="N105:N110 Z105:Z110 AL105:AL110 Z116 AL116 N116:N117 N119:N120 Z119:Z120 AL119:AL120 N122 Z122">
    <cfRule type="expression" dxfId="19" priority="106">
      <formula>AND(#REF!=TRUE,$H105="CLOSED",#REF!&gt;=WORKDAY($K105,11),#REF!&lt;=WORKDAY($K105,50))</formula>
    </cfRule>
    <cfRule type="expression" dxfId="18" priority="107">
      <formula>AND(#REF!=TRUE,$H105="CLOSED",#REF!&gt;=WORKDAY($K105,6),#REF!&lt;=WORKDAY($K105,10))</formula>
    </cfRule>
    <cfRule type="expression" dxfId="17" priority="108">
      <formula>AND(#REF!=TRUE,$H105="CLOSED",#REF!&gt;=WORKDAY($K105,1),#REF!&lt;=WORKDAY($K105,5))</formula>
    </cfRule>
    <cfRule type="expression" dxfId="16" priority="109">
      <formula>AND(#REF!=TRUE,$H105="CLOSED",#REF!&lt;=$K105)</formula>
    </cfRule>
  </conditionalFormatting>
  <conditionalFormatting sqref="Z181 AB181">
    <cfRule type="expression" dxfId="15" priority="90">
      <formula>AND(#REF!=TRUE,$H181="CLOSED",$M181&gt;=WORKDAY($L181,11),$M181&lt;=WORKDAY($L181,50))</formula>
    </cfRule>
    <cfRule type="expression" dxfId="14" priority="91">
      <formula>AND(#REF!=TRUE,$H181="CLOSED",$M181&gt;=WORKDAY($L181,6),$M181&lt;=WORKDAY($L181,10))</formula>
    </cfRule>
    <cfRule type="expression" dxfId="13" priority="92">
      <formula>AND(#REF!=TRUE,$H181="CLOSED",$M181&gt;=WORKDAY($L181,1),$M181&lt;=WORKDAY($L181,5))</formula>
    </cfRule>
    <cfRule type="expression" dxfId="12" priority="93">
      <formula>AND(#REF!=TRUE,$H181="CLOSED",$M181&lt;=$L181)</formula>
    </cfRule>
  </conditionalFormatting>
  <conditionalFormatting sqref="AJ129 AL129">
    <cfRule type="expression" dxfId="7" priority="5">
      <formula>AND(#REF!=TRUE,$H129="CLOSED",$M129&gt;=WORKDAY($L129,11),$M129&lt;=WORKDAY($L129,50))</formula>
    </cfRule>
    <cfRule type="expression" dxfId="6" priority="6">
      <formula>AND(#REF!=TRUE,$H129="CLOSED",$M129&gt;=WORKDAY($L129,6),$M129&lt;=WORKDAY($L129,10))</formula>
    </cfRule>
    <cfRule type="expression" dxfId="5" priority="7">
      <formula>AND(#REF!=TRUE,$H129="CLOSED",$M129&gt;=WORKDAY($L129,1),$M129&lt;=WORKDAY($L129,5))</formula>
    </cfRule>
    <cfRule type="expression" dxfId="4" priority="8">
      <formula>AND(#REF!=TRUE,$H129="CLOSED",$M129&lt;=$L129)</formula>
    </cfRule>
  </conditionalFormatting>
  <conditionalFormatting sqref="AG85 AI85">
    <cfRule type="expression" dxfId="3" priority="1">
      <formula>AND(#REF!=TRUE,$H85="CLOSED",$M85&gt;=WORKDAY($L85,11),$M85&lt;=WORKDAY($L85,50))</formula>
    </cfRule>
    <cfRule type="expression" dxfId="2" priority="2">
      <formula>AND(#REF!=TRUE,$H85="CLOSED",$M85&gt;=WORKDAY($L85,6),$M85&lt;=WORKDAY($L85,10))</formula>
    </cfRule>
    <cfRule type="expression" dxfId="1" priority="3">
      <formula>AND(#REF!=TRUE,$H85="CLOSED",$M85&gt;=WORKDAY($L85,1),$M85&lt;=WORKDAY($L85,5))</formula>
    </cfRule>
    <cfRule type="expression" dxfId="0" priority="4">
      <formula>AND(#REF!=TRUE,$H85="CLOSED",$M85&lt;=$L85)</formula>
    </cfRule>
  </conditionalFormatting>
  <dataValidations disablePrompts="1" count="1">
    <dataValidation type="list" allowBlank="1" showInputMessage="1" showErrorMessage="1" sqref="I22:N23" xr:uid="{1ADA8BE9-0F24-574E-94E4-04F501922708}">
      <formula1>"Full-Service, Creative Boutique, Branding, PR, Media, Digital Marketing, Social Media, Influencer, Events"</formula1>
    </dataValidation>
  </dataValidations>
  <printOptions horizontalCentered="1" verticalCentered="1"/>
  <pageMargins left="0.39370078740157483" right="0.39370078740157483" top="0.39370078740157483" bottom="0.59055118110236227" header="0" footer="0"/>
  <pageSetup paperSize="8" scale="73" orientation="landscape"/>
  <headerFooter>
    <oddFooter>&amp;C&amp;F   -   &amp;P/&amp;R&amp;A</oddFooter>
  </headerFooter>
  <rowBreaks count="1" manualBreakCount="1">
    <brk id="95" max="40" man="1"/>
  </rowBreak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D3E930-764E-4565-A5BC-653D39467A4C}">
          <x14:formula1>
            <xm:f>Settings!$C$1:$C$20</xm:f>
          </x14:formula1>
          <xm:sqref>L105:M110 AJ105:AK110 X105:Y110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94D0-D799-4E5B-8664-4833CA9802D4}">
  <dimension ref="A1:C25"/>
  <sheetViews>
    <sheetView workbookViewId="0">
      <selection activeCell="A17" sqref="A17"/>
    </sheetView>
  </sheetViews>
  <sheetFormatPr baseColWidth="10" defaultColWidth="8.83203125" defaultRowHeight="15"/>
  <cols>
    <col min="1" max="1" width="68.5" bestFit="1" customWidth="1"/>
  </cols>
  <sheetData>
    <row r="1" spans="1:3">
      <c r="A1" s="93" t="s">
        <v>581</v>
      </c>
      <c r="C1" s="96">
        <v>0.05</v>
      </c>
    </row>
    <row r="2" spans="1:3">
      <c r="A2" s="93" t="s">
        <v>582</v>
      </c>
      <c r="C2" s="96">
        <v>0.1</v>
      </c>
    </row>
    <row r="3" spans="1:3">
      <c r="A3" s="93" t="s">
        <v>583</v>
      </c>
      <c r="C3" s="96">
        <v>0.15</v>
      </c>
    </row>
    <row r="4" spans="1:3">
      <c r="A4" s="93" t="s">
        <v>584</v>
      </c>
      <c r="C4" s="96">
        <v>0.2</v>
      </c>
    </row>
    <row r="5" spans="1:3">
      <c r="C5" s="96">
        <v>0.25</v>
      </c>
    </row>
    <row r="6" spans="1:3">
      <c r="C6" s="96">
        <v>0.3</v>
      </c>
    </row>
    <row r="7" spans="1:3">
      <c r="C7" s="96">
        <v>0.35</v>
      </c>
    </row>
    <row r="8" spans="1:3">
      <c r="C8" s="96">
        <v>0.4</v>
      </c>
    </row>
    <row r="9" spans="1:3">
      <c r="C9" s="96">
        <v>0.45</v>
      </c>
    </row>
    <row r="10" spans="1:3">
      <c r="C10" s="96">
        <v>0.5</v>
      </c>
    </row>
    <row r="11" spans="1:3">
      <c r="C11" s="96">
        <v>0.55000000000000004</v>
      </c>
    </row>
    <row r="12" spans="1:3">
      <c r="C12" s="96">
        <v>0.6</v>
      </c>
    </row>
    <row r="13" spans="1:3">
      <c r="C13" s="96">
        <v>0.65</v>
      </c>
    </row>
    <row r="14" spans="1:3">
      <c r="C14" s="96">
        <v>0.7</v>
      </c>
    </row>
    <row r="15" spans="1:3">
      <c r="C15" s="96">
        <v>0.75</v>
      </c>
    </row>
    <row r="16" spans="1:3">
      <c r="C16" s="96">
        <v>0.8</v>
      </c>
    </row>
    <row r="17" spans="3:3">
      <c r="C17" s="96">
        <v>0.85</v>
      </c>
    </row>
    <row r="18" spans="3:3">
      <c r="C18" s="96">
        <v>0.9</v>
      </c>
    </row>
    <row r="19" spans="3:3">
      <c r="C19" s="96">
        <v>0.95</v>
      </c>
    </row>
    <row r="20" spans="3:3">
      <c r="C20" s="96">
        <v>1</v>
      </c>
    </row>
    <row r="21" spans="3:3">
      <c r="C21" s="96"/>
    </row>
    <row r="22" spans="3:3">
      <c r="C22" s="96"/>
    </row>
    <row r="23" spans="3:3">
      <c r="C23" s="96"/>
    </row>
    <row r="24" spans="3:3">
      <c r="C24" s="96"/>
    </row>
    <row r="25" spans="3:3">
      <c r="C25" s="9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9A51-84E1-664F-8A13-D9E82424FE8E}">
  <dimension ref="B2:F197"/>
  <sheetViews>
    <sheetView showGridLines="0" zoomScale="126" zoomScaleNormal="126" workbookViewId="0">
      <selection activeCell="H18" sqref="H18"/>
    </sheetView>
  </sheetViews>
  <sheetFormatPr baseColWidth="10" defaultColWidth="8.5" defaultRowHeight="13"/>
  <cols>
    <col min="1" max="1" width="2.5" style="9" customWidth="1"/>
    <col min="2" max="2" width="31.5" style="9" bestFit="1" customWidth="1"/>
    <col min="3" max="3" width="2.5" style="9" customWidth="1"/>
    <col min="4" max="4" width="31.5" style="9" customWidth="1"/>
    <col min="5" max="5" width="2.5" style="9" customWidth="1"/>
    <col min="6" max="6" width="28" style="9" bestFit="1" customWidth="1"/>
    <col min="7" max="16384" width="8.5" style="9"/>
  </cols>
  <sheetData>
    <row r="2" spans="2:6">
      <c r="B2" s="8">
        <f>COUNTA(B4:B197)</f>
        <v>163</v>
      </c>
      <c r="D2" s="8">
        <f>COUNTA(D4:D197)</f>
        <v>194</v>
      </c>
      <c r="F2" s="8">
        <f>COUNTA(F4:F197)</f>
        <v>6</v>
      </c>
    </row>
    <row r="3" spans="2:6" ht="15">
      <c r="B3" s="10" t="s">
        <v>50</v>
      </c>
      <c r="D3" s="70" t="s">
        <v>227</v>
      </c>
      <c r="F3" s="70" t="s">
        <v>293</v>
      </c>
    </row>
    <row r="4" spans="2:6">
      <c r="B4" s="11" t="s">
        <v>51</v>
      </c>
      <c r="D4" s="71" t="s">
        <v>294</v>
      </c>
      <c r="F4" s="71" t="s">
        <v>295</v>
      </c>
    </row>
    <row r="5" spans="2:6">
      <c r="B5" s="11" t="s">
        <v>52</v>
      </c>
      <c r="D5" s="71" t="s">
        <v>296</v>
      </c>
      <c r="F5" s="71" t="s">
        <v>297</v>
      </c>
    </row>
    <row r="6" spans="2:6">
      <c r="B6" s="11" t="s">
        <v>53</v>
      </c>
      <c r="D6" s="71" t="s">
        <v>298</v>
      </c>
      <c r="F6" s="71" t="s">
        <v>299</v>
      </c>
    </row>
    <row r="7" spans="2:6">
      <c r="B7" s="11" t="s">
        <v>54</v>
      </c>
      <c r="D7" s="71" t="s">
        <v>300</v>
      </c>
      <c r="F7" s="71" t="s">
        <v>301</v>
      </c>
    </row>
    <row r="8" spans="2:6">
      <c r="B8" s="11" t="s">
        <v>55</v>
      </c>
      <c r="D8" s="71" t="s">
        <v>302</v>
      </c>
      <c r="F8" s="71" t="s">
        <v>303</v>
      </c>
    </row>
    <row r="9" spans="2:6">
      <c r="B9" s="11" t="s">
        <v>56</v>
      </c>
      <c r="D9" s="71" t="s">
        <v>304</v>
      </c>
      <c r="F9" s="71" t="s">
        <v>305</v>
      </c>
    </row>
    <row r="10" spans="2:6">
      <c r="B10" s="11" t="s">
        <v>57</v>
      </c>
      <c r="D10" s="71" t="s">
        <v>306</v>
      </c>
      <c r="F10" s="71"/>
    </row>
    <row r="11" spans="2:6">
      <c r="B11" s="11" t="s">
        <v>58</v>
      </c>
      <c r="D11" s="71" t="s">
        <v>307</v>
      </c>
      <c r="F11" s="71"/>
    </row>
    <row r="12" spans="2:6">
      <c r="B12" s="11" t="s">
        <v>59</v>
      </c>
      <c r="D12" s="71" t="s">
        <v>308</v>
      </c>
      <c r="F12" s="71"/>
    </row>
    <row r="13" spans="2:6">
      <c r="B13" s="11" t="s">
        <v>60</v>
      </c>
      <c r="D13" s="71" t="s">
        <v>309</v>
      </c>
      <c r="F13" s="71"/>
    </row>
    <row r="14" spans="2:6">
      <c r="B14" s="11" t="s">
        <v>61</v>
      </c>
      <c r="D14" s="71" t="s">
        <v>310</v>
      </c>
      <c r="F14" s="71"/>
    </row>
    <row r="15" spans="2:6">
      <c r="B15" s="11" t="s">
        <v>62</v>
      </c>
      <c r="D15" s="71" t="s">
        <v>311</v>
      </c>
      <c r="F15" s="71"/>
    </row>
    <row r="16" spans="2:6">
      <c r="B16" s="11" t="s">
        <v>63</v>
      </c>
      <c r="D16" s="71" t="s">
        <v>312</v>
      </c>
      <c r="F16" s="71"/>
    </row>
    <row r="17" spans="2:6">
      <c r="B17" s="11" t="s">
        <v>51</v>
      </c>
      <c r="D17" s="71" t="s">
        <v>313</v>
      </c>
      <c r="F17" s="71"/>
    </row>
    <row r="18" spans="2:6">
      <c r="B18" s="11" t="s">
        <v>64</v>
      </c>
      <c r="D18" s="71" t="s">
        <v>314</v>
      </c>
      <c r="F18" s="71"/>
    </row>
    <row r="19" spans="2:6">
      <c r="B19" s="11" t="s">
        <v>65</v>
      </c>
      <c r="D19" s="71" t="s">
        <v>315</v>
      </c>
      <c r="F19" s="71"/>
    </row>
    <row r="20" spans="2:6">
      <c r="B20" s="11" t="s">
        <v>66</v>
      </c>
      <c r="D20" s="71" t="s">
        <v>316</v>
      </c>
      <c r="F20" s="71"/>
    </row>
    <row r="21" spans="2:6">
      <c r="B21" s="11" t="s">
        <v>67</v>
      </c>
      <c r="D21" s="71" t="s">
        <v>317</v>
      </c>
      <c r="F21" s="71"/>
    </row>
    <row r="22" spans="2:6">
      <c r="B22" s="11" t="s">
        <v>68</v>
      </c>
      <c r="D22" s="71" t="s">
        <v>318</v>
      </c>
      <c r="F22" s="71"/>
    </row>
    <row r="23" spans="2:6">
      <c r="B23" s="11" t="s">
        <v>69</v>
      </c>
      <c r="D23" s="71" t="s">
        <v>319</v>
      </c>
      <c r="F23" s="71"/>
    </row>
    <row r="24" spans="2:6">
      <c r="B24" s="11" t="s">
        <v>70</v>
      </c>
      <c r="D24" s="71" t="s">
        <v>320</v>
      </c>
      <c r="F24" s="71"/>
    </row>
    <row r="25" spans="2:6">
      <c r="B25" s="11" t="s">
        <v>71</v>
      </c>
      <c r="D25" s="71" t="s">
        <v>321</v>
      </c>
      <c r="F25" s="71"/>
    </row>
    <row r="26" spans="2:6">
      <c r="B26" s="11" t="s">
        <v>72</v>
      </c>
      <c r="D26" s="71" t="s">
        <v>322</v>
      </c>
      <c r="F26" s="71"/>
    </row>
    <row r="27" spans="2:6">
      <c r="B27" s="11" t="s">
        <v>73</v>
      </c>
      <c r="D27" s="71" t="s">
        <v>323</v>
      </c>
      <c r="F27" s="71"/>
    </row>
    <row r="28" spans="2:6">
      <c r="B28" s="11" t="s">
        <v>74</v>
      </c>
      <c r="D28" s="71" t="s">
        <v>324</v>
      </c>
      <c r="F28" s="71"/>
    </row>
    <row r="29" spans="2:6">
      <c r="B29" s="11" t="s">
        <v>75</v>
      </c>
      <c r="D29" s="71" t="s">
        <v>325</v>
      </c>
      <c r="F29" s="71"/>
    </row>
    <row r="30" spans="2:6">
      <c r="B30" s="11" t="s">
        <v>76</v>
      </c>
      <c r="D30" s="71" t="s">
        <v>326</v>
      </c>
      <c r="F30" s="71"/>
    </row>
    <row r="31" spans="2:6">
      <c r="B31" s="11" t="s">
        <v>52</v>
      </c>
      <c r="D31" s="71" t="s">
        <v>327</v>
      </c>
      <c r="F31" s="71"/>
    </row>
    <row r="32" spans="2:6">
      <c r="B32" s="11" t="s">
        <v>77</v>
      </c>
      <c r="D32" s="71" t="s">
        <v>328</v>
      </c>
      <c r="F32" s="71"/>
    </row>
    <row r="33" spans="2:6">
      <c r="B33" s="11" t="s">
        <v>78</v>
      </c>
      <c r="D33" s="71" t="s">
        <v>329</v>
      </c>
      <c r="F33" s="71"/>
    </row>
    <row r="34" spans="2:6">
      <c r="B34" s="11" t="s">
        <v>79</v>
      </c>
      <c r="D34" s="71" t="s">
        <v>330</v>
      </c>
      <c r="F34" s="71"/>
    </row>
    <row r="35" spans="2:6">
      <c r="B35" s="11" t="s">
        <v>80</v>
      </c>
      <c r="D35" s="71" t="s">
        <v>331</v>
      </c>
      <c r="F35" s="71"/>
    </row>
    <row r="36" spans="2:6">
      <c r="B36" s="11" t="s">
        <v>81</v>
      </c>
      <c r="D36" s="71" t="s">
        <v>332</v>
      </c>
      <c r="F36" s="71"/>
    </row>
    <row r="37" spans="2:6">
      <c r="B37" s="11" t="s">
        <v>82</v>
      </c>
      <c r="D37" s="71" t="s">
        <v>333</v>
      </c>
      <c r="F37" s="71"/>
    </row>
    <row r="38" spans="2:6">
      <c r="B38" s="11" t="s">
        <v>83</v>
      </c>
      <c r="D38" s="71" t="s">
        <v>334</v>
      </c>
      <c r="F38" s="71"/>
    </row>
    <row r="39" spans="2:6">
      <c r="B39" s="11" t="s">
        <v>84</v>
      </c>
      <c r="D39" s="71" t="s">
        <v>335</v>
      </c>
      <c r="F39" s="71"/>
    </row>
    <row r="40" spans="2:6">
      <c r="B40" s="11" t="s">
        <v>85</v>
      </c>
      <c r="D40" s="71" t="s">
        <v>336</v>
      </c>
      <c r="F40" s="71"/>
    </row>
    <row r="41" spans="2:6">
      <c r="B41" s="11" t="s">
        <v>86</v>
      </c>
      <c r="D41" s="71" t="s">
        <v>337</v>
      </c>
      <c r="F41" s="71"/>
    </row>
    <row r="42" spans="2:6">
      <c r="B42" s="11" t="s">
        <v>87</v>
      </c>
      <c r="D42" s="71" t="s">
        <v>338</v>
      </c>
      <c r="F42" s="71"/>
    </row>
    <row r="43" spans="2:6">
      <c r="B43" s="11" t="s">
        <v>88</v>
      </c>
      <c r="D43" s="71" t="s">
        <v>339</v>
      </c>
      <c r="F43" s="71"/>
    </row>
    <row r="44" spans="2:6">
      <c r="B44" s="11" t="s">
        <v>89</v>
      </c>
      <c r="D44" s="71" t="s">
        <v>340</v>
      </c>
      <c r="F44" s="71"/>
    </row>
    <row r="45" spans="2:6">
      <c r="B45" s="11" t="s">
        <v>90</v>
      </c>
      <c r="D45" s="71" t="s">
        <v>341</v>
      </c>
      <c r="F45" s="71"/>
    </row>
    <row r="46" spans="2:6">
      <c r="B46" s="11" t="s">
        <v>91</v>
      </c>
      <c r="D46" s="71" t="s">
        <v>342</v>
      </c>
      <c r="F46" s="71"/>
    </row>
    <row r="47" spans="2:6">
      <c r="B47" s="11" t="s">
        <v>92</v>
      </c>
      <c r="D47" s="71" t="s">
        <v>343</v>
      </c>
      <c r="F47" s="71"/>
    </row>
    <row r="48" spans="2:6">
      <c r="B48" s="11" t="s">
        <v>93</v>
      </c>
      <c r="D48" s="71" t="s">
        <v>344</v>
      </c>
      <c r="F48" s="71"/>
    </row>
    <row r="49" spans="2:6">
      <c r="B49" s="11" t="s">
        <v>94</v>
      </c>
      <c r="D49" s="71" t="s">
        <v>345</v>
      </c>
      <c r="F49" s="71"/>
    </row>
    <row r="50" spans="2:6">
      <c r="B50" s="11" t="s">
        <v>95</v>
      </c>
      <c r="D50" s="71" t="s">
        <v>346</v>
      </c>
      <c r="F50" s="71"/>
    </row>
    <row r="51" spans="2:6">
      <c r="B51" s="11" t="s">
        <v>96</v>
      </c>
      <c r="D51" s="71" t="s">
        <v>347</v>
      </c>
      <c r="F51" s="71"/>
    </row>
    <row r="52" spans="2:6">
      <c r="B52" s="11" t="s">
        <v>97</v>
      </c>
      <c r="D52" s="71" t="s">
        <v>348</v>
      </c>
      <c r="F52" s="71"/>
    </row>
    <row r="53" spans="2:6">
      <c r="B53" s="11" t="s">
        <v>98</v>
      </c>
      <c r="D53" s="71" t="s">
        <v>349</v>
      </c>
      <c r="F53" s="71"/>
    </row>
    <row r="54" spans="2:6">
      <c r="B54" s="11" t="s">
        <v>99</v>
      </c>
      <c r="D54" s="71" t="s">
        <v>350</v>
      </c>
      <c r="F54" s="71"/>
    </row>
    <row r="55" spans="2:6">
      <c r="B55" s="11" t="s">
        <v>100</v>
      </c>
      <c r="D55" s="71" t="s">
        <v>351</v>
      </c>
      <c r="F55" s="71"/>
    </row>
    <row r="56" spans="2:6">
      <c r="B56" s="11" t="s">
        <v>101</v>
      </c>
      <c r="D56" s="71" t="s">
        <v>352</v>
      </c>
      <c r="F56" s="71"/>
    </row>
    <row r="57" spans="2:6">
      <c r="B57" s="11" t="s">
        <v>102</v>
      </c>
      <c r="D57" s="71" t="s">
        <v>353</v>
      </c>
      <c r="F57" s="71"/>
    </row>
    <row r="58" spans="2:6">
      <c r="B58" s="11" t="s">
        <v>103</v>
      </c>
      <c r="D58" s="71" t="s">
        <v>354</v>
      </c>
      <c r="F58" s="71"/>
    </row>
    <row r="59" spans="2:6">
      <c r="B59" s="11" t="s">
        <v>53</v>
      </c>
      <c r="D59" s="71" t="s">
        <v>355</v>
      </c>
      <c r="F59" s="71"/>
    </row>
    <row r="60" spans="2:6">
      <c r="B60" s="11" t="s">
        <v>104</v>
      </c>
      <c r="D60" s="71" t="s">
        <v>356</v>
      </c>
      <c r="F60" s="71"/>
    </row>
    <row r="61" spans="2:6">
      <c r="B61" s="11" t="s">
        <v>105</v>
      </c>
      <c r="D61" s="71" t="s">
        <v>357</v>
      </c>
      <c r="F61" s="71"/>
    </row>
    <row r="62" spans="2:6">
      <c r="B62" s="11" t="s">
        <v>106</v>
      </c>
      <c r="D62" s="71" t="s">
        <v>358</v>
      </c>
      <c r="F62" s="71"/>
    </row>
    <row r="63" spans="2:6">
      <c r="B63" s="11" t="s">
        <v>107</v>
      </c>
      <c r="D63" s="71" t="s">
        <v>359</v>
      </c>
      <c r="F63" s="71"/>
    </row>
    <row r="64" spans="2:6">
      <c r="B64" s="11" t="s">
        <v>108</v>
      </c>
      <c r="D64" s="71" t="s">
        <v>360</v>
      </c>
      <c r="F64" s="71"/>
    </row>
    <row r="65" spans="2:6">
      <c r="B65" s="11" t="s">
        <v>109</v>
      </c>
      <c r="D65" s="71" t="s">
        <v>361</v>
      </c>
      <c r="F65" s="71"/>
    </row>
    <row r="66" spans="2:6">
      <c r="B66" s="11" t="s">
        <v>110</v>
      </c>
      <c r="D66" s="71" t="s">
        <v>362</v>
      </c>
      <c r="F66" s="71"/>
    </row>
    <row r="67" spans="2:6">
      <c r="B67" s="11" t="s">
        <v>111</v>
      </c>
      <c r="D67" s="71" t="s">
        <v>363</v>
      </c>
      <c r="F67" s="71"/>
    </row>
    <row r="68" spans="2:6">
      <c r="B68" s="11" t="s">
        <v>112</v>
      </c>
      <c r="D68" s="71" t="s">
        <v>364</v>
      </c>
      <c r="F68" s="71"/>
    </row>
    <row r="69" spans="2:6">
      <c r="B69" s="11" t="s">
        <v>113</v>
      </c>
      <c r="D69" s="71" t="s">
        <v>365</v>
      </c>
      <c r="F69" s="71"/>
    </row>
    <row r="70" spans="2:6">
      <c r="B70" s="11" t="s">
        <v>114</v>
      </c>
      <c r="D70" s="71" t="s">
        <v>366</v>
      </c>
      <c r="F70" s="71"/>
    </row>
    <row r="71" spans="2:6">
      <c r="B71" s="11" t="s">
        <v>115</v>
      </c>
      <c r="D71" s="71" t="s">
        <v>367</v>
      </c>
      <c r="F71" s="71"/>
    </row>
    <row r="72" spans="2:6">
      <c r="B72" s="11" t="s">
        <v>116</v>
      </c>
      <c r="D72" s="71" t="s">
        <v>368</v>
      </c>
      <c r="F72" s="71"/>
    </row>
    <row r="73" spans="2:6">
      <c r="B73" s="11" t="s">
        <v>117</v>
      </c>
      <c r="D73" s="71" t="s">
        <v>369</v>
      </c>
      <c r="F73" s="71"/>
    </row>
    <row r="74" spans="2:6">
      <c r="B74" s="11" t="s">
        <v>118</v>
      </c>
      <c r="D74" s="71" t="s">
        <v>370</v>
      </c>
      <c r="F74" s="71"/>
    </row>
    <row r="75" spans="2:6">
      <c r="B75" s="11" t="s">
        <v>119</v>
      </c>
      <c r="D75" s="71" t="s">
        <v>371</v>
      </c>
      <c r="F75" s="71"/>
    </row>
    <row r="76" spans="2:6">
      <c r="B76" s="11" t="s">
        <v>120</v>
      </c>
      <c r="D76" s="71" t="s">
        <v>372</v>
      </c>
      <c r="F76" s="71"/>
    </row>
    <row r="77" spans="2:6">
      <c r="B77" s="11" t="s">
        <v>121</v>
      </c>
      <c r="D77" s="71" t="s">
        <v>373</v>
      </c>
      <c r="F77" s="71"/>
    </row>
    <row r="78" spans="2:6">
      <c r="B78" s="11" t="s">
        <v>122</v>
      </c>
      <c r="D78" s="71" t="s">
        <v>374</v>
      </c>
      <c r="F78" s="71"/>
    </row>
    <row r="79" spans="2:6">
      <c r="B79" s="11" t="s">
        <v>123</v>
      </c>
      <c r="D79" s="71" t="s">
        <v>375</v>
      </c>
      <c r="F79" s="71"/>
    </row>
    <row r="80" spans="2:6">
      <c r="B80" s="11" t="s">
        <v>124</v>
      </c>
      <c r="D80" s="71" t="s">
        <v>376</v>
      </c>
      <c r="F80" s="71"/>
    </row>
    <row r="81" spans="2:6">
      <c r="B81" s="11" t="s">
        <v>54</v>
      </c>
      <c r="D81" s="71" t="s">
        <v>377</v>
      </c>
      <c r="F81" s="71"/>
    </row>
    <row r="82" spans="2:6">
      <c r="B82" s="11" t="s">
        <v>125</v>
      </c>
      <c r="D82" s="71" t="s">
        <v>378</v>
      </c>
      <c r="F82" s="71"/>
    </row>
    <row r="83" spans="2:6">
      <c r="B83" s="11" t="s">
        <v>126</v>
      </c>
      <c r="D83" s="71" t="s">
        <v>379</v>
      </c>
      <c r="F83" s="71"/>
    </row>
    <row r="84" spans="2:6">
      <c r="B84" s="11" t="s">
        <v>127</v>
      </c>
      <c r="D84" s="71" t="s">
        <v>380</v>
      </c>
      <c r="F84" s="71"/>
    </row>
    <row r="85" spans="2:6">
      <c r="B85" s="11" t="s">
        <v>128</v>
      </c>
      <c r="D85" s="71" t="s">
        <v>381</v>
      </c>
      <c r="F85" s="71"/>
    </row>
    <row r="86" spans="2:6">
      <c r="B86" s="11" t="s">
        <v>129</v>
      </c>
      <c r="D86" s="71" t="s">
        <v>382</v>
      </c>
      <c r="F86" s="71"/>
    </row>
    <row r="87" spans="2:6">
      <c r="B87" s="11" t="s">
        <v>130</v>
      </c>
      <c r="D87" s="71" t="s">
        <v>383</v>
      </c>
      <c r="F87" s="71"/>
    </row>
    <row r="88" spans="2:6">
      <c r="B88" s="11" t="s">
        <v>131</v>
      </c>
      <c r="D88" s="71" t="s">
        <v>384</v>
      </c>
      <c r="F88" s="71"/>
    </row>
    <row r="89" spans="2:6">
      <c r="B89" s="11" t="s">
        <v>132</v>
      </c>
      <c r="D89" s="71" t="s">
        <v>385</v>
      </c>
      <c r="F89" s="71"/>
    </row>
    <row r="90" spans="2:6">
      <c r="B90" s="11" t="s">
        <v>133</v>
      </c>
      <c r="D90" s="71" t="s">
        <v>386</v>
      </c>
      <c r="F90" s="71"/>
    </row>
    <row r="91" spans="2:6">
      <c r="B91" s="11" t="s">
        <v>134</v>
      </c>
      <c r="D91" s="71" t="s">
        <v>387</v>
      </c>
      <c r="F91" s="71"/>
    </row>
    <row r="92" spans="2:6">
      <c r="B92" s="11" t="s">
        <v>135</v>
      </c>
      <c r="D92" s="71" t="s">
        <v>388</v>
      </c>
      <c r="F92" s="71"/>
    </row>
    <row r="93" spans="2:6">
      <c r="B93" s="11" t="s">
        <v>136</v>
      </c>
      <c r="D93" s="71" t="s">
        <v>389</v>
      </c>
      <c r="F93" s="71"/>
    </row>
    <row r="94" spans="2:6">
      <c r="B94" s="11" t="s">
        <v>137</v>
      </c>
      <c r="D94" s="71" t="s">
        <v>390</v>
      </c>
      <c r="F94" s="71"/>
    </row>
    <row r="95" spans="2:6">
      <c r="B95" s="11" t="s">
        <v>138</v>
      </c>
      <c r="D95" s="71" t="s">
        <v>391</v>
      </c>
      <c r="F95" s="71"/>
    </row>
    <row r="96" spans="2:6">
      <c r="B96" s="11" t="s">
        <v>139</v>
      </c>
      <c r="D96" s="71" t="s">
        <v>392</v>
      </c>
      <c r="F96" s="71"/>
    </row>
    <row r="97" spans="2:6">
      <c r="B97" s="11" t="s">
        <v>140</v>
      </c>
      <c r="D97" s="71" t="s">
        <v>393</v>
      </c>
      <c r="F97" s="71"/>
    </row>
    <row r="98" spans="2:6">
      <c r="B98" s="11" t="s">
        <v>141</v>
      </c>
      <c r="D98" s="71" t="s">
        <v>394</v>
      </c>
      <c r="F98" s="71"/>
    </row>
    <row r="99" spans="2:6">
      <c r="B99" s="11" t="s">
        <v>142</v>
      </c>
      <c r="D99" s="71" t="s">
        <v>395</v>
      </c>
      <c r="F99" s="71"/>
    </row>
    <row r="100" spans="2:6">
      <c r="B100" s="11" t="s">
        <v>143</v>
      </c>
      <c r="D100" s="71" t="s">
        <v>396</v>
      </c>
      <c r="F100" s="71"/>
    </row>
    <row r="101" spans="2:6">
      <c r="B101" s="11" t="s">
        <v>144</v>
      </c>
      <c r="D101" s="71" t="s">
        <v>397</v>
      </c>
      <c r="F101" s="71"/>
    </row>
    <row r="102" spans="2:6">
      <c r="B102" s="11" t="s">
        <v>145</v>
      </c>
      <c r="D102" s="71" t="s">
        <v>398</v>
      </c>
      <c r="F102" s="71"/>
    </row>
    <row r="103" spans="2:6">
      <c r="B103" s="11" t="s">
        <v>146</v>
      </c>
      <c r="D103" s="71" t="s">
        <v>399</v>
      </c>
      <c r="F103" s="71"/>
    </row>
    <row r="104" spans="2:6">
      <c r="B104" s="11" t="s">
        <v>147</v>
      </c>
      <c r="D104" s="71" t="s">
        <v>400</v>
      </c>
      <c r="F104" s="71"/>
    </row>
    <row r="105" spans="2:6">
      <c r="B105" s="11" t="s">
        <v>148</v>
      </c>
      <c r="D105" s="71" t="s">
        <v>401</v>
      </c>
      <c r="F105" s="71"/>
    </row>
    <row r="106" spans="2:6">
      <c r="B106" s="11" t="s">
        <v>149</v>
      </c>
      <c r="D106" s="71" t="s">
        <v>402</v>
      </c>
      <c r="F106" s="71"/>
    </row>
    <row r="107" spans="2:6">
      <c r="B107" s="11" t="s">
        <v>150</v>
      </c>
      <c r="D107" s="71" t="s">
        <v>403</v>
      </c>
      <c r="F107" s="71"/>
    </row>
    <row r="108" spans="2:6">
      <c r="B108" s="11" t="s">
        <v>151</v>
      </c>
      <c r="D108" s="71" t="s">
        <v>404</v>
      </c>
      <c r="F108" s="71"/>
    </row>
    <row r="109" spans="2:6">
      <c r="B109" s="11" t="s">
        <v>152</v>
      </c>
      <c r="D109" s="71" t="s">
        <v>405</v>
      </c>
      <c r="F109" s="71"/>
    </row>
    <row r="110" spans="2:6">
      <c r="B110" s="11" t="s">
        <v>153</v>
      </c>
      <c r="D110" s="71" t="s">
        <v>406</v>
      </c>
      <c r="F110" s="71"/>
    </row>
    <row r="111" spans="2:6">
      <c r="B111" s="11" t="s">
        <v>154</v>
      </c>
      <c r="D111" s="71" t="s">
        <v>407</v>
      </c>
      <c r="F111" s="71"/>
    </row>
    <row r="112" spans="2:6">
      <c r="B112" s="11" t="s">
        <v>155</v>
      </c>
      <c r="D112" s="71" t="s">
        <v>408</v>
      </c>
      <c r="F112" s="71"/>
    </row>
    <row r="113" spans="2:6">
      <c r="B113" s="11" t="s">
        <v>156</v>
      </c>
      <c r="D113" s="71" t="s">
        <v>409</v>
      </c>
      <c r="F113" s="71"/>
    </row>
    <row r="114" spans="2:6">
      <c r="B114" s="11" t="s">
        <v>157</v>
      </c>
      <c r="D114" s="71" t="s">
        <v>410</v>
      </c>
      <c r="F114" s="71"/>
    </row>
    <row r="115" spans="2:6">
      <c r="B115" s="11" t="s">
        <v>158</v>
      </c>
      <c r="D115" s="71" t="s">
        <v>411</v>
      </c>
      <c r="F115" s="71"/>
    </row>
    <row r="116" spans="2:6">
      <c r="B116" s="11" t="s">
        <v>159</v>
      </c>
      <c r="D116" s="71" t="s">
        <v>412</v>
      </c>
      <c r="F116" s="71"/>
    </row>
    <row r="117" spans="2:6">
      <c r="B117" s="11" t="s">
        <v>160</v>
      </c>
      <c r="D117" s="71" t="s">
        <v>413</v>
      </c>
      <c r="F117" s="71"/>
    </row>
    <row r="118" spans="2:6">
      <c r="B118" s="11" t="s">
        <v>161</v>
      </c>
      <c r="D118" s="71" t="s">
        <v>414</v>
      </c>
      <c r="F118" s="71"/>
    </row>
    <row r="119" spans="2:6">
      <c r="B119" s="11" t="s">
        <v>162</v>
      </c>
      <c r="D119" s="71" t="s">
        <v>415</v>
      </c>
      <c r="F119" s="71"/>
    </row>
    <row r="120" spans="2:6">
      <c r="B120" s="11" t="s">
        <v>163</v>
      </c>
      <c r="D120" s="71" t="s">
        <v>416</v>
      </c>
      <c r="F120" s="71"/>
    </row>
    <row r="121" spans="2:6">
      <c r="B121" s="11" t="s">
        <v>164</v>
      </c>
      <c r="D121" s="71" t="s">
        <v>417</v>
      </c>
      <c r="F121" s="71"/>
    </row>
    <row r="122" spans="2:6">
      <c r="B122" s="11" t="s">
        <v>165</v>
      </c>
      <c r="D122" s="71" t="s">
        <v>418</v>
      </c>
      <c r="F122" s="71"/>
    </row>
    <row r="123" spans="2:6">
      <c r="B123" s="11" t="s">
        <v>166</v>
      </c>
      <c r="D123" s="71" t="s">
        <v>419</v>
      </c>
      <c r="F123" s="71"/>
    </row>
    <row r="124" spans="2:6">
      <c r="B124" s="11" t="s">
        <v>167</v>
      </c>
      <c r="D124" s="71" t="s">
        <v>420</v>
      </c>
      <c r="F124" s="71"/>
    </row>
    <row r="125" spans="2:6">
      <c r="B125" s="11" t="s">
        <v>168</v>
      </c>
      <c r="D125" s="71" t="s">
        <v>421</v>
      </c>
      <c r="F125" s="71"/>
    </row>
    <row r="126" spans="2:6">
      <c r="B126" s="11" t="s">
        <v>169</v>
      </c>
      <c r="D126" s="71" t="s">
        <v>422</v>
      </c>
      <c r="F126" s="71"/>
    </row>
    <row r="127" spans="2:6">
      <c r="B127" s="11" t="s">
        <v>170</v>
      </c>
      <c r="D127" s="71" t="s">
        <v>423</v>
      </c>
      <c r="F127" s="71"/>
    </row>
    <row r="128" spans="2:6">
      <c r="B128" s="11" t="s">
        <v>171</v>
      </c>
      <c r="D128" s="71" t="s">
        <v>424</v>
      </c>
      <c r="F128" s="71"/>
    </row>
    <row r="129" spans="2:6">
      <c r="B129" s="11" t="s">
        <v>172</v>
      </c>
      <c r="D129" s="71" t="s">
        <v>425</v>
      </c>
      <c r="F129" s="71"/>
    </row>
    <row r="130" spans="2:6">
      <c r="B130" s="11" t="s">
        <v>173</v>
      </c>
      <c r="D130" s="71" t="s">
        <v>426</v>
      </c>
      <c r="F130" s="71"/>
    </row>
    <row r="131" spans="2:6">
      <c r="B131" s="11" t="s">
        <v>174</v>
      </c>
      <c r="D131" s="71" t="s">
        <v>427</v>
      </c>
      <c r="F131" s="71"/>
    </row>
    <row r="132" spans="2:6">
      <c r="B132" s="11" t="s">
        <v>175</v>
      </c>
      <c r="D132" s="71" t="s">
        <v>428</v>
      </c>
      <c r="F132" s="71"/>
    </row>
    <row r="133" spans="2:6">
      <c r="B133" s="11" t="s">
        <v>176</v>
      </c>
      <c r="D133" s="71" t="s">
        <v>429</v>
      </c>
      <c r="F133" s="71"/>
    </row>
    <row r="134" spans="2:6">
      <c r="B134" s="11" t="s">
        <v>177</v>
      </c>
      <c r="D134" s="71" t="s">
        <v>430</v>
      </c>
      <c r="F134" s="71"/>
    </row>
    <row r="135" spans="2:6">
      <c r="B135" s="11" t="s">
        <v>178</v>
      </c>
      <c r="D135" s="71" t="s">
        <v>431</v>
      </c>
      <c r="F135" s="71"/>
    </row>
    <row r="136" spans="2:6">
      <c r="B136" s="11" t="s">
        <v>179</v>
      </c>
      <c r="D136" s="71" t="s">
        <v>432</v>
      </c>
      <c r="F136" s="71"/>
    </row>
    <row r="137" spans="2:6">
      <c r="B137" s="11" t="s">
        <v>180</v>
      </c>
      <c r="D137" s="71" t="s">
        <v>433</v>
      </c>
      <c r="F137" s="71"/>
    </row>
    <row r="138" spans="2:6">
      <c r="B138" s="11" t="s">
        <v>181</v>
      </c>
      <c r="D138" s="71" t="s">
        <v>434</v>
      </c>
      <c r="F138" s="71"/>
    </row>
    <row r="139" spans="2:6">
      <c r="B139" s="11" t="s">
        <v>182</v>
      </c>
      <c r="D139" s="71" t="s">
        <v>435</v>
      </c>
      <c r="F139" s="71"/>
    </row>
    <row r="140" spans="2:6">
      <c r="B140" s="11" t="s">
        <v>183</v>
      </c>
      <c r="D140" s="71" t="s">
        <v>436</v>
      </c>
      <c r="F140" s="71"/>
    </row>
    <row r="141" spans="2:6">
      <c r="B141" s="11" t="s">
        <v>184</v>
      </c>
      <c r="D141" s="71" t="s">
        <v>437</v>
      </c>
      <c r="F141" s="71"/>
    </row>
    <row r="142" spans="2:6">
      <c r="B142" s="11" t="s">
        <v>185</v>
      </c>
      <c r="D142" s="71" t="s">
        <v>438</v>
      </c>
      <c r="F142" s="71"/>
    </row>
    <row r="143" spans="2:6">
      <c r="B143" s="11" t="s">
        <v>186</v>
      </c>
      <c r="D143" s="71" t="s">
        <v>439</v>
      </c>
      <c r="F143" s="71"/>
    </row>
    <row r="144" spans="2:6">
      <c r="B144" s="11" t="s">
        <v>187</v>
      </c>
      <c r="D144" s="71" t="s">
        <v>440</v>
      </c>
      <c r="F144" s="71"/>
    </row>
    <row r="145" spans="2:6">
      <c r="B145" s="11" t="s">
        <v>188</v>
      </c>
      <c r="D145" s="71" t="s">
        <v>441</v>
      </c>
      <c r="F145" s="71"/>
    </row>
    <row r="146" spans="2:6">
      <c r="B146" s="11" t="s">
        <v>55</v>
      </c>
      <c r="D146" s="71" t="s">
        <v>442</v>
      </c>
      <c r="F146" s="71"/>
    </row>
    <row r="147" spans="2:6">
      <c r="B147" s="11" t="s">
        <v>189</v>
      </c>
      <c r="D147" s="71" t="s">
        <v>443</v>
      </c>
      <c r="F147" s="71"/>
    </row>
    <row r="148" spans="2:6">
      <c r="B148" s="11" t="s">
        <v>190</v>
      </c>
      <c r="D148" s="71" t="s">
        <v>444</v>
      </c>
      <c r="F148" s="71"/>
    </row>
    <row r="149" spans="2:6">
      <c r="B149" s="11" t="s">
        <v>191</v>
      </c>
      <c r="D149" s="71" t="s">
        <v>445</v>
      </c>
      <c r="F149" s="71"/>
    </row>
    <row r="150" spans="2:6">
      <c r="B150" s="11" t="s">
        <v>192</v>
      </c>
      <c r="D150" s="71" t="s">
        <v>446</v>
      </c>
      <c r="F150" s="71"/>
    </row>
    <row r="151" spans="2:6">
      <c r="B151" s="11" t="s">
        <v>193</v>
      </c>
      <c r="D151" s="71" t="s">
        <v>447</v>
      </c>
      <c r="F151" s="71"/>
    </row>
    <row r="152" spans="2:6">
      <c r="B152" s="11" t="s">
        <v>194</v>
      </c>
      <c r="D152" s="71" t="s">
        <v>448</v>
      </c>
      <c r="F152" s="71"/>
    </row>
    <row r="153" spans="2:6">
      <c r="B153" s="11" t="s">
        <v>195</v>
      </c>
      <c r="D153" s="71" t="s">
        <v>449</v>
      </c>
      <c r="F153" s="71"/>
    </row>
    <row r="154" spans="2:6">
      <c r="B154" s="11" t="s">
        <v>196</v>
      </c>
      <c r="D154" s="71" t="s">
        <v>450</v>
      </c>
      <c r="F154" s="71"/>
    </row>
    <row r="155" spans="2:6">
      <c r="B155" s="11" t="s">
        <v>197</v>
      </c>
      <c r="D155" s="71" t="s">
        <v>451</v>
      </c>
      <c r="F155" s="71"/>
    </row>
    <row r="156" spans="2:6">
      <c r="B156" s="11" t="s">
        <v>56</v>
      </c>
      <c r="D156" s="71" t="s">
        <v>452</v>
      </c>
      <c r="F156" s="71"/>
    </row>
    <row r="157" spans="2:6">
      <c r="B157" s="11" t="s">
        <v>198</v>
      </c>
      <c r="D157" s="71" t="s">
        <v>453</v>
      </c>
      <c r="F157" s="71"/>
    </row>
    <row r="158" spans="2:6">
      <c r="B158" s="11" t="s">
        <v>199</v>
      </c>
      <c r="D158" s="71" t="s">
        <v>454</v>
      </c>
      <c r="F158" s="71"/>
    </row>
    <row r="159" spans="2:6">
      <c r="B159" s="11" t="s">
        <v>200</v>
      </c>
      <c r="D159" s="71" t="s">
        <v>455</v>
      </c>
      <c r="F159" s="71"/>
    </row>
    <row r="160" spans="2:6">
      <c r="B160" s="11" t="s">
        <v>201</v>
      </c>
      <c r="D160" s="71" t="s">
        <v>456</v>
      </c>
      <c r="F160" s="71"/>
    </row>
    <row r="161" spans="2:6">
      <c r="B161" s="11" t="s">
        <v>202</v>
      </c>
      <c r="D161" s="71" t="s">
        <v>457</v>
      </c>
      <c r="F161" s="71"/>
    </row>
    <row r="162" spans="2:6">
      <c r="B162" s="11" t="s">
        <v>203</v>
      </c>
      <c r="D162" s="71" t="s">
        <v>458</v>
      </c>
      <c r="F162" s="71"/>
    </row>
    <row r="163" spans="2:6">
      <c r="B163" s="11" t="s">
        <v>204</v>
      </c>
      <c r="D163" s="71" t="s">
        <v>459</v>
      </c>
      <c r="F163" s="71"/>
    </row>
    <row r="164" spans="2:6">
      <c r="B164" s="11" t="s">
        <v>205</v>
      </c>
      <c r="D164" s="71" t="s">
        <v>460</v>
      </c>
      <c r="F164" s="71"/>
    </row>
    <row r="165" spans="2:6">
      <c r="B165" s="11" t="s">
        <v>206</v>
      </c>
      <c r="D165" s="71" t="s">
        <v>461</v>
      </c>
      <c r="F165" s="71"/>
    </row>
    <row r="166" spans="2:6">
      <c r="B166" s="11" t="s">
        <v>207</v>
      </c>
      <c r="D166" s="71" t="s">
        <v>462</v>
      </c>
      <c r="F166" s="71"/>
    </row>
    <row r="167" spans="2:6">
      <c r="B167" s="11"/>
      <c r="D167" s="71" t="s">
        <v>463</v>
      </c>
      <c r="F167" s="71"/>
    </row>
    <row r="168" spans="2:6">
      <c r="B168" s="11"/>
      <c r="D168" s="71" t="s">
        <v>464</v>
      </c>
      <c r="F168" s="71"/>
    </row>
    <row r="169" spans="2:6">
      <c r="B169" s="11"/>
      <c r="D169" s="71" t="s">
        <v>465</v>
      </c>
      <c r="F169" s="71"/>
    </row>
    <row r="170" spans="2:6">
      <c r="B170" s="11"/>
      <c r="D170" s="71" t="s">
        <v>466</v>
      </c>
      <c r="F170" s="71"/>
    </row>
    <row r="171" spans="2:6">
      <c r="B171" s="11"/>
      <c r="D171" s="71" t="s">
        <v>467</v>
      </c>
      <c r="F171" s="71"/>
    </row>
    <row r="172" spans="2:6">
      <c r="B172" s="11"/>
      <c r="D172" s="71" t="s">
        <v>468</v>
      </c>
      <c r="F172" s="71"/>
    </row>
    <row r="173" spans="2:6">
      <c r="B173" s="11"/>
      <c r="D173" s="71" t="s">
        <v>469</v>
      </c>
      <c r="F173" s="71"/>
    </row>
    <row r="174" spans="2:6">
      <c r="B174" s="11"/>
      <c r="D174" s="71" t="s">
        <v>470</v>
      </c>
      <c r="F174" s="71"/>
    </row>
    <row r="175" spans="2:6">
      <c r="B175" s="11"/>
      <c r="D175" s="71" t="s">
        <v>471</v>
      </c>
      <c r="F175" s="71"/>
    </row>
    <row r="176" spans="2:6">
      <c r="B176" s="11"/>
      <c r="D176" s="71" t="s">
        <v>472</v>
      </c>
      <c r="F176" s="71"/>
    </row>
    <row r="177" spans="2:6">
      <c r="B177" s="11"/>
      <c r="D177" s="71" t="s">
        <v>473</v>
      </c>
      <c r="F177" s="71"/>
    </row>
    <row r="178" spans="2:6">
      <c r="B178" s="11"/>
      <c r="D178" s="71" t="s">
        <v>474</v>
      </c>
      <c r="F178" s="71"/>
    </row>
    <row r="179" spans="2:6">
      <c r="B179" s="11"/>
      <c r="D179" s="71" t="s">
        <v>475</v>
      </c>
      <c r="F179" s="71"/>
    </row>
    <row r="180" spans="2:6">
      <c r="B180" s="11"/>
      <c r="D180" s="71" t="s">
        <v>476</v>
      </c>
      <c r="F180" s="71"/>
    </row>
    <row r="181" spans="2:6">
      <c r="B181" s="11"/>
      <c r="D181" s="71" t="s">
        <v>477</v>
      </c>
      <c r="F181" s="71"/>
    </row>
    <row r="182" spans="2:6">
      <c r="B182" s="11"/>
      <c r="D182" s="71" t="s">
        <v>478</v>
      </c>
      <c r="F182" s="71"/>
    </row>
    <row r="183" spans="2:6">
      <c r="B183" s="11"/>
      <c r="D183" s="71" t="s">
        <v>479</v>
      </c>
      <c r="F183" s="71"/>
    </row>
    <row r="184" spans="2:6">
      <c r="B184" s="11"/>
      <c r="D184" s="71" t="s">
        <v>480</v>
      </c>
      <c r="F184" s="71"/>
    </row>
    <row r="185" spans="2:6">
      <c r="B185" s="11"/>
      <c r="D185" s="71" t="s">
        <v>481</v>
      </c>
      <c r="F185" s="71"/>
    </row>
    <row r="186" spans="2:6">
      <c r="B186" s="11"/>
      <c r="D186" s="71" t="s">
        <v>482</v>
      </c>
      <c r="F186" s="71"/>
    </row>
    <row r="187" spans="2:6">
      <c r="B187" s="11"/>
      <c r="D187" s="71" t="s">
        <v>483</v>
      </c>
      <c r="F187" s="71"/>
    </row>
    <row r="188" spans="2:6">
      <c r="B188" s="11"/>
      <c r="D188" s="71" t="s">
        <v>484</v>
      </c>
      <c r="F188" s="71"/>
    </row>
    <row r="189" spans="2:6">
      <c r="B189" s="11"/>
      <c r="D189" s="71" t="s">
        <v>485</v>
      </c>
      <c r="F189" s="71"/>
    </row>
    <row r="190" spans="2:6">
      <c r="B190" s="11"/>
      <c r="D190" s="71" t="s">
        <v>486</v>
      </c>
      <c r="F190" s="71"/>
    </row>
    <row r="191" spans="2:6">
      <c r="B191" s="11"/>
      <c r="D191" s="71" t="s">
        <v>487</v>
      </c>
      <c r="F191" s="71"/>
    </row>
    <row r="192" spans="2:6">
      <c r="B192" s="11"/>
      <c r="D192" s="71" t="s">
        <v>488</v>
      </c>
      <c r="F192" s="71"/>
    </row>
    <row r="193" spans="2:6">
      <c r="B193" s="11"/>
      <c r="D193" s="71" t="s">
        <v>489</v>
      </c>
      <c r="F193" s="71"/>
    </row>
    <row r="194" spans="2:6">
      <c r="B194" s="11"/>
      <c r="D194" s="71" t="s">
        <v>490</v>
      </c>
      <c r="F194" s="71"/>
    </row>
    <row r="195" spans="2:6">
      <c r="B195" s="11"/>
      <c r="D195" s="71" t="s">
        <v>491</v>
      </c>
      <c r="F195" s="71"/>
    </row>
    <row r="196" spans="2:6">
      <c r="B196" s="11"/>
      <c r="D196" s="71" t="s">
        <v>492</v>
      </c>
      <c r="F196" s="71"/>
    </row>
    <row r="197" spans="2:6">
      <c r="B197" s="11"/>
      <c r="D197" s="71" t="s">
        <v>493</v>
      </c>
      <c r="F197" s="71"/>
    </row>
  </sheetData>
  <sheetProtection algorithmName="SHA-512" hashValue="hswhcgf0XAhk0X2MN7NIwSeCV2Kg4K97CIhJ5s/Rb0msyQIZ+C9IDbyAtNlfr0WePwLlb8N4mW9Vk4AsOtIb9Q==" saltValue="B4Or8XpxuxHHJL9u/Inj8Q==" spinCount="100000" sheet="1" objects="1" scenarios="1"/>
  <pageMargins left="0.7" right="0.7" top="0.75" bottom="0.75" header="0.3" footer="0.3"/>
  <pageSetup orientation="portrait" r:id="rId1"/>
  <headerFooter>
    <oddHeader>&amp;L&amp;"Arial"&amp;8&amp;K000000INTERNAL&amp;1#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223B-FA87-45D3-905F-EE7960634DD3}">
  <dimension ref="A1:BE87"/>
  <sheetViews>
    <sheetView workbookViewId="0">
      <selection activeCell="BL16" sqref="BL16"/>
    </sheetView>
  </sheetViews>
  <sheetFormatPr baseColWidth="10" defaultColWidth="9.1640625" defaultRowHeight="15"/>
  <cols>
    <col min="1" max="57" width="1.6640625" style="98" customWidth="1"/>
    <col min="58" max="58" width="7.6640625" style="98" customWidth="1"/>
    <col min="59" max="16384" width="9.1640625" style="98"/>
  </cols>
  <sheetData>
    <row r="1" spans="1:57">
      <c r="A1" s="98" t="s">
        <v>608</v>
      </c>
      <c r="B1" s="98" t="s">
        <v>218</v>
      </c>
      <c r="C1" s="98" t="s">
        <v>223</v>
      </c>
      <c r="D1" s="98" t="s">
        <v>494</v>
      </c>
      <c r="E1" s="98" t="s">
        <v>609</v>
      </c>
      <c r="F1" s="98" t="s">
        <v>610</v>
      </c>
      <c r="G1" s="98" t="s">
        <v>611</v>
      </c>
      <c r="H1" s="98" t="s">
        <v>612</v>
      </c>
      <c r="I1" s="98" t="s">
        <v>613</v>
      </c>
      <c r="J1" s="98" t="s">
        <v>614</v>
      </c>
      <c r="K1" s="98" t="s">
        <v>615</v>
      </c>
      <c r="L1" s="98" t="s">
        <v>616</v>
      </c>
      <c r="M1" s="98" t="s">
        <v>617</v>
      </c>
      <c r="N1" s="98" t="s">
        <v>618</v>
      </c>
      <c r="O1" s="98" t="s">
        <v>619</v>
      </c>
      <c r="P1" s="98" t="s">
        <v>620</v>
      </c>
      <c r="Q1" s="98" t="s">
        <v>621</v>
      </c>
      <c r="R1" s="98" t="s">
        <v>622</v>
      </c>
      <c r="S1" s="98" t="s">
        <v>623</v>
      </c>
      <c r="T1" s="98" t="s">
        <v>624</v>
      </c>
      <c r="U1" s="98" t="s">
        <v>625</v>
      </c>
      <c r="V1" s="98" t="s">
        <v>626</v>
      </c>
      <c r="W1" s="98" t="s">
        <v>627</v>
      </c>
      <c r="X1" s="98" t="s">
        <v>628</v>
      </c>
      <c r="Y1" s="99" t="s">
        <v>253</v>
      </c>
      <c r="Z1" s="99" t="s">
        <v>266</v>
      </c>
      <c r="AA1" s="99" t="s">
        <v>259</v>
      </c>
      <c r="AB1" s="99" t="s">
        <v>267</v>
      </c>
      <c r="AC1" s="99" t="s">
        <v>268</v>
      </c>
      <c r="AD1" s="99" t="s">
        <v>269</v>
      </c>
      <c r="AE1" s="98" t="s">
        <v>258</v>
      </c>
      <c r="AF1" s="98" t="s">
        <v>270</v>
      </c>
      <c r="AG1" s="98" t="s">
        <v>271</v>
      </c>
      <c r="AH1" s="98" t="s">
        <v>256</v>
      </c>
      <c r="AI1" s="98" t="s">
        <v>257</v>
      </c>
      <c r="AJ1" s="98" t="s">
        <v>272</v>
      </c>
      <c r="AK1" s="98" t="s">
        <v>262</v>
      </c>
      <c r="AL1" s="98" t="s">
        <v>273</v>
      </c>
      <c r="AM1" s="98" t="s">
        <v>263</v>
      </c>
      <c r="AN1" s="98" t="s">
        <v>265</v>
      </c>
      <c r="AO1" s="98" t="s">
        <v>264</v>
      </c>
      <c r="AP1" s="98" t="s">
        <v>254</v>
      </c>
      <c r="AQ1" s="100" t="s">
        <v>277</v>
      </c>
      <c r="AR1" s="101" t="s">
        <v>517</v>
      </c>
      <c r="AS1" s="101" t="s">
        <v>518</v>
      </c>
      <c r="AT1" s="101" t="s">
        <v>519</v>
      </c>
      <c r="AU1" s="101" t="s">
        <v>520</v>
      </c>
      <c r="AV1" s="101" t="s">
        <v>521</v>
      </c>
      <c r="AW1" s="101" t="s">
        <v>522</v>
      </c>
      <c r="AX1" s="101" t="s">
        <v>288</v>
      </c>
      <c r="AY1" s="101" t="s">
        <v>557</v>
      </c>
      <c r="AZ1" s="101" t="s">
        <v>564</v>
      </c>
      <c r="BA1" s="101" t="s">
        <v>523</v>
      </c>
      <c r="BB1" s="101" t="s">
        <v>524</v>
      </c>
      <c r="BC1" s="101" t="s">
        <v>588</v>
      </c>
      <c r="BD1" s="101" t="s">
        <v>590</v>
      </c>
      <c r="BE1" s="101" t="s">
        <v>589</v>
      </c>
    </row>
    <row r="2" spans="1:57">
      <c r="A2" s="98">
        <f>RFI!I13</f>
        <v>0</v>
      </c>
      <c r="B2" s="98">
        <f>RFI!AG16</f>
        <v>0</v>
      </c>
      <c r="C2" s="98">
        <f>RFI!AG19</f>
        <v>0</v>
      </c>
      <c r="D2" s="98">
        <f>RFI!AG22</f>
        <v>0</v>
      </c>
      <c r="E2" s="98">
        <f>RFI!I63</f>
        <v>0</v>
      </c>
      <c r="F2" s="98">
        <f>RFI!J63</f>
        <v>0</v>
      </c>
      <c r="G2" s="98">
        <f>RFI!K63</f>
        <v>0</v>
      </c>
      <c r="H2" s="98">
        <f>RFI!L63</f>
        <v>0</v>
      </c>
      <c r="I2" s="98">
        <f>RFI!M63</f>
        <v>0</v>
      </c>
      <c r="J2" s="98">
        <f>RFI!N63</f>
        <v>0</v>
      </c>
      <c r="K2" s="98">
        <f>RFI!O63</f>
        <v>0</v>
      </c>
      <c r="L2" s="98">
        <f>RFI!P63</f>
        <v>0</v>
      </c>
      <c r="M2" s="98">
        <f>RFI!Q63</f>
        <v>0</v>
      </c>
      <c r="N2" s="98">
        <f>RFI!R63</f>
        <v>0</v>
      </c>
      <c r="O2" s="98">
        <f>RFI!S63</f>
        <v>0</v>
      </c>
      <c r="P2" s="98">
        <f>RFI!T63</f>
        <v>0</v>
      </c>
      <c r="Q2" s="98">
        <f>RFI!U63</f>
        <v>0</v>
      </c>
      <c r="R2" s="98">
        <f>RFI!V63</f>
        <v>0</v>
      </c>
      <c r="S2" s="98">
        <f>RFI!W63</f>
        <v>0</v>
      </c>
      <c r="T2" s="98">
        <f>RFI!X63</f>
        <v>0</v>
      </c>
      <c r="U2" s="98">
        <f>RFI!Y63</f>
        <v>0</v>
      </c>
      <c r="V2" s="98">
        <f>RFI!Z63</f>
        <v>0</v>
      </c>
      <c r="W2" s="98">
        <f>RFI!AA63</f>
        <v>0</v>
      </c>
      <c r="X2" s="98">
        <f>RFI!AB63</f>
        <v>0</v>
      </c>
      <c r="Y2" s="102">
        <f>RFI!L105</f>
        <v>0</v>
      </c>
      <c r="Z2" s="102">
        <f>RFI!L106</f>
        <v>0</v>
      </c>
      <c r="AA2" s="102">
        <f>RFI!L107</f>
        <v>0</v>
      </c>
      <c r="AB2" s="102">
        <f>RFI!L108</f>
        <v>0</v>
      </c>
      <c r="AC2" s="102">
        <f>RFI!L109</f>
        <v>0</v>
      </c>
      <c r="AD2" s="102">
        <f>RFI!L110</f>
        <v>0</v>
      </c>
      <c r="AE2" s="102">
        <f>RFI!X105</f>
        <v>0</v>
      </c>
      <c r="AF2" s="102">
        <f>RFI!X106</f>
        <v>0</v>
      </c>
      <c r="AG2" s="102">
        <f>RFI!X107</f>
        <v>0</v>
      </c>
      <c r="AH2" s="102">
        <f>RFI!X108</f>
        <v>0</v>
      </c>
      <c r="AI2" s="102">
        <f>RFI!X109</f>
        <v>0</v>
      </c>
      <c r="AJ2" s="102">
        <f>RFI!X110</f>
        <v>0</v>
      </c>
      <c r="AK2" s="102">
        <f>RFI!AJ105</f>
        <v>0</v>
      </c>
      <c r="AL2" s="102">
        <f>RFI!AJ106</f>
        <v>0</v>
      </c>
      <c r="AM2" s="102">
        <f>RFI!AJ107</f>
        <v>0</v>
      </c>
      <c r="AN2" s="102">
        <f>RFI!AJ108</f>
        <v>0</v>
      </c>
      <c r="AO2" s="102">
        <f>RFI!AJ109</f>
        <v>0</v>
      </c>
      <c r="AP2" s="102">
        <f>RFI!AJ110</f>
        <v>0</v>
      </c>
      <c r="AQ2" s="102">
        <f>AS6</f>
        <v>0</v>
      </c>
      <c r="AR2" s="103">
        <f>AX5</f>
        <v>0</v>
      </c>
      <c r="AS2" s="103">
        <f>AX6</f>
        <v>0</v>
      </c>
      <c r="AT2" s="103">
        <f>AX7</f>
        <v>0</v>
      </c>
      <c r="AU2" s="103">
        <f>AX8</f>
        <v>0</v>
      </c>
      <c r="AV2" s="103">
        <f>AX9</f>
        <v>0</v>
      </c>
      <c r="AW2" s="103">
        <f>AX10</f>
        <v>0</v>
      </c>
      <c r="AX2" s="103">
        <f>AX11</f>
        <v>0</v>
      </c>
      <c r="AY2" s="103">
        <f>AX12</f>
        <v>0</v>
      </c>
      <c r="AZ2" s="103">
        <f>AX13</f>
        <v>0</v>
      </c>
      <c r="BA2" s="103">
        <f>AX14</f>
        <v>0</v>
      </c>
      <c r="BB2" s="103">
        <f>AX15</f>
        <v>0</v>
      </c>
      <c r="BC2" s="103">
        <f>AX16</f>
        <v>0</v>
      </c>
      <c r="BD2" s="103">
        <f>AX17</f>
        <v>0</v>
      </c>
      <c r="BE2" s="102">
        <f>AX18</f>
        <v>0</v>
      </c>
    </row>
    <row r="5" spans="1:57">
      <c r="AS5" s="98">
        <f>COUNTIF(AR6:AR87,"true")</f>
        <v>0</v>
      </c>
      <c r="AU5" s="101" t="s">
        <v>517</v>
      </c>
      <c r="AV5" s="101">
        <f>COUNTIF(AR6:AR13,"true")</f>
        <v>0</v>
      </c>
      <c r="AW5" s="101">
        <v>8</v>
      </c>
      <c r="AX5" s="104">
        <f>AV5/AW5</f>
        <v>0</v>
      </c>
    </row>
    <row r="6" spans="1:57">
      <c r="AQ6" s="98" t="s">
        <v>278</v>
      </c>
      <c r="AR6" s="98" t="b">
        <f>RFI!N116</f>
        <v>0</v>
      </c>
      <c r="AS6" s="105">
        <f>AS5/86</f>
        <v>0</v>
      </c>
      <c r="AU6" s="101" t="s">
        <v>518</v>
      </c>
      <c r="AV6" s="101">
        <f>COUNTIF(AR14:AR22,"true")</f>
        <v>0</v>
      </c>
      <c r="AW6" s="101">
        <v>9</v>
      </c>
      <c r="AX6" s="104">
        <f t="shared" ref="AX6:AX18" si="0">AV6/AW6</f>
        <v>0</v>
      </c>
    </row>
    <row r="7" spans="1:57">
      <c r="AQ7" s="98" t="s">
        <v>284</v>
      </c>
      <c r="AR7" s="98" t="e">
        <f>RFI!#REF!</f>
        <v>#REF!</v>
      </c>
      <c r="AU7" s="101" t="s">
        <v>519</v>
      </c>
      <c r="AV7" s="101">
        <f>COUNTIF(AR23:AR25,"true")</f>
        <v>0</v>
      </c>
      <c r="AW7" s="101">
        <v>3</v>
      </c>
      <c r="AX7" s="104">
        <f t="shared" si="0"/>
        <v>0</v>
      </c>
    </row>
    <row r="8" spans="1:57">
      <c r="AQ8" s="98" t="s">
        <v>525</v>
      </c>
      <c r="AR8" s="98" t="e">
        <f>RFI!#REF!</f>
        <v>#REF!</v>
      </c>
      <c r="AU8" s="101" t="s">
        <v>520</v>
      </c>
      <c r="AV8" s="101">
        <f>COUNTIF(AR26:AR32,"true")</f>
        <v>0</v>
      </c>
      <c r="AW8" s="101">
        <v>7</v>
      </c>
      <c r="AX8" s="104">
        <f t="shared" si="0"/>
        <v>0</v>
      </c>
    </row>
    <row r="9" spans="1:57">
      <c r="AQ9" s="98" t="s">
        <v>526</v>
      </c>
      <c r="AR9" s="98" t="b">
        <f>RFI!Z116</f>
        <v>0</v>
      </c>
      <c r="AU9" s="101" t="s">
        <v>521</v>
      </c>
      <c r="AV9" s="101">
        <f>COUNTIF(AR33:AR38,"true")</f>
        <v>0</v>
      </c>
      <c r="AW9" s="101">
        <v>6</v>
      </c>
      <c r="AX9" s="104">
        <f t="shared" si="0"/>
        <v>0</v>
      </c>
    </row>
    <row r="10" spans="1:57">
      <c r="AQ10" s="98" t="s">
        <v>281</v>
      </c>
      <c r="AR10" s="98" t="e">
        <f>RFI!#REF!</f>
        <v>#REF!</v>
      </c>
      <c r="AU10" s="101" t="s">
        <v>522</v>
      </c>
      <c r="AV10" s="101">
        <f>COUNTIF(AR39:AR43,"true")</f>
        <v>0</v>
      </c>
      <c r="AW10" s="101">
        <v>5</v>
      </c>
      <c r="AX10" s="104">
        <f t="shared" si="0"/>
        <v>0</v>
      </c>
    </row>
    <row r="11" spans="1:57">
      <c r="AQ11" s="98" t="s">
        <v>283</v>
      </c>
      <c r="AR11" s="98" t="e">
        <f>RFI!#REF!</f>
        <v>#REF!</v>
      </c>
      <c r="AU11" s="101" t="s">
        <v>288</v>
      </c>
      <c r="AV11" s="101">
        <f>COUNTIF(AR49:AR54,"true")</f>
        <v>0</v>
      </c>
      <c r="AW11" s="101">
        <v>6</v>
      </c>
      <c r="AX11" s="104">
        <f t="shared" si="0"/>
        <v>0</v>
      </c>
    </row>
    <row r="12" spans="1:57">
      <c r="AQ12" s="98" t="s">
        <v>527</v>
      </c>
      <c r="AR12" s="98" t="b">
        <f>RFI!AL116</f>
        <v>0</v>
      </c>
      <c r="AU12" s="101" t="s">
        <v>557</v>
      </c>
      <c r="AV12" s="101">
        <f>COUNTIF(AR50:AR56,"true")</f>
        <v>0</v>
      </c>
      <c r="AW12" s="101">
        <v>7</v>
      </c>
      <c r="AX12" s="104">
        <f t="shared" si="0"/>
        <v>0</v>
      </c>
    </row>
    <row r="13" spans="1:57">
      <c r="AQ13" s="98" t="s">
        <v>528</v>
      </c>
      <c r="AR13" s="98" t="e">
        <f>RFI!#REF!</f>
        <v>#REF!</v>
      </c>
      <c r="AU13" s="101" t="s">
        <v>564</v>
      </c>
      <c r="AV13" s="101">
        <f>COUNTIF(AR57:AR63,"true")</f>
        <v>0</v>
      </c>
      <c r="AW13" s="101">
        <v>7</v>
      </c>
      <c r="AX13" s="104">
        <f t="shared" si="0"/>
        <v>0</v>
      </c>
    </row>
    <row r="14" spans="1:57">
      <c r="AQ14" s="98" t="s">
        <v>279</v>
      </c>
      <c r="AR14" s="98" t="b">
        <f>RFI!N119</f>
        <v>0</v>
      </c>
      <c r="AU14" s="101" t="s">
        <v>523</v>
      </c>
      <c r="AV14" s="101">
        <f>COUNTIF(AR64:AR67,"true")</f>
        <v>0</v>
      </c>
      <c r="AW14" s="101">
        <v>4</v>
      </c>
      <c r="AX14" s="104">
        <f t="shared" si="0"/>
        <v>0</v>
      </c>
    </row>
    <row r="15" spans="1:57">
      <c r="AQ15" s="98" t="s">
        <v>529</v>
      </c>
      <c r="AR15" s="98" t="b">
        <f>RFI!N120</f>
        <v>0</v>
      </c>
      <c r="AU15" s="101" t="s">
        <v>524</v>
      </c>
      <c r="AV15" s="101">
        <f>COUNTIF(AR68:AR72,"true")</f>
        <v>0</v>
      </c>
      <c r="AW15" s="101">
        <v>5</v>
      </c>
      <c r="AX15" s="104">
        <f t="shared" si="0"/>
        <v>0</v>
      </c>
    </row>
    <row r="16" spans="1:57">
      <c r="AQ16" s="98" t="s">
        <v>280</v>
      </c>
      <c r="AR16" s="98" t="e">
        <f>RFI!#REF!</f>
        <v>#REF!</v>
      </c>
      <c r="AU16" s="101" t="s">
        <v>588</v>
      </c>
      <c r="AV16" s="101">
        <f>COUNTIF(AR73:AR77,"true")</f>
        <v>0</v>
      </c>
      <c r="AW16" s="101">
        <v>5</v>
      </c>
      <c r="AX16" s="104">
        <f t="shared" si="0"/>
        <v>0</v>
      </c>
    </row>
    <row r="17" spans="43:50">
      <c r="AQ17" s="98" t="s">
        <v>530</v>
      </c>
      <c r="AR17" s="98" t="b">
        <f>RFI!Z119</f>
        <v>0</v>
      </c>
      <c r="AU17" s="101" t="s">
        <v>590</v>
      </c>
      <c r="AV17" s="101">
        <f>COUNTIF(AR78:AR82,"true")</f>
        <v>0</v>
      </c>
      <c r="AW17" s="101">
        <v>5</v>
      </c>
      <c r="AX17" s="104">
        <f t="shared" si="0"/>
        <v>0</v>
      </c>
    </row>
    <row r="18" spans="43:50">
      <c r="AQ18" s="98" t="s">
        <v>531</v>
      </c>
      <c r="AR18" s="98" t="b">
        <f>RFI!Z120</f>
        <v>0</v>
      </c>
      <c r="AU18" s="101" t="s">
        <v>589</v>
      </c>
      <c r="AV18" s="101">
        <f>COUNTIF(AR83:AR87,"true")</f>
        <v>0</v>
      </c>
      <c r="AW18" s="101">
        <v>5</v>
      </c>
      <c r="AX18" s="104">
        <f t="shared" si="0"/>
        <v>0</v>
      </c>
    </row>
    <row r="19" spans="43:50">
      <c r="AQ19" s="98" t="s">
        <v>532</v>
      </c>
      <c r="AR19" s="98" t="e">
        <f>RFI!#REF!</f>
        <v>#REF!</v>
      </c>
    </row>
    <row r="20" spans="43:50">
      <c r="AQ20" s="98" t="s">
        <v>533</v>
      </c>
      <c r="AR20" s="98" t="b">
        <f>RFI!AL119</f>
        <v>0</v>
      </c>
    </row>
    <row r="21" spans="43:50">
      <c r="AQ21" s="98" t="s">
        <v>534</v>
      </c>
      <c r="AR21" s="98" t="b">
        <f>RFI!AL120</f>
        <v>0</v>
      </c>
    </row>
    <row r="22" spans="43:50">
      <c r="AQ22" s="98" t="s">
        <v>535</v>
      </c>
      <c r="AR22" s="98" t="e">
        <f>RFI!#REF!</f>
        <v>#REF!</v>
      </c>
    </row>
    <row r="23" spans="43:50">
      <c r="AQ23" s="98" t="s">
        <v>536</v>
      </c>
      <c r="AR23" s="98" t="b">
        <f>RFI!N122</f>
        <v>0</v>
      </c>
    </row>
    <row r="24" spans="43:50">
      <c r="AQ24" s="98" t="s">
        <v>537</v>
      </c>
      <c r="AR24" s="98" t="b">
        <f>RFI!Z122</f>
        <v>0</v>
      </c>
    </row>
    <row r="25" spans="43:50">
      <c r="AQ25" s="98" t="s">
        <v>538</v>
      </c>
      <c r="AR25" s="98">
        <f>RFI!AL122</f>
        <v>0</v>
      </c>
    </row>
    <row r="26" spans="43:50">
      <c r="AQ26" s="98" t="s">
        <v>282</v>
      </c>
      <c r="AR26" s="98" t="e">
        <f>RFI!#REF!</f>
        <v>#REF!</v>
      </c>
    </row>
    <row r="27" spans="43:50">
      <c r="AQ27" s="98" t="s">
        <v>539</v>
      </c>
      <c r="AR27" s="98" t="e">
        <f>RFI!#REF!</f>
        <v>#REF!</v>
      </c>
    </row>
    <row r="28" spans="43:50">
      <c r="AQ28" s="98" t="s">
        <v>540</v>
      </c>
      <c r="AR28" s="98" t="e">
        <f>RFI!#REF!</f>
        <v>#REF!</v>
      </c>
    </row>
    <row r="29" spans="43:50">
      <c r="AQ29" s="98" t="s">
        <v>541</v>
      </c>
      <c r="AR29" s="98" t="e">
        <f>RFI!#REF!</f>
        <v>#REF!</v>
      </c>
    </row>
    <row r="30" spans="43:50">
      <c r="AQ30" s="98" t="s">
        <v>542</v>
      </c>
      <c r="AR30" s="98" t="e">
        <f>RFI!#REF!</f>
        <v>#REF!</v>
      </c>
    </row>
    <row r="31" spans="43:50">
      <c r="AQ31" s="98" t="s">
        <v>543</v>
      </c>
      <c r="AR31" s="98" t="e">
        <f>RFI!#REF!</f>
        <v>#REF!</v>
      </c>
    </row>
    <row r="32" spans="43:50">
      <c r="AQ32" s="98" t="s">
        <v>544</v>
      </c>
      <c r="AR32" s="98" t="e">
        <f>RFI!#REF!</f>
        <v>#REF!</v>
      </c>
    </row>
    <row r="33" spans="43:44">
      <c r="AQ33" s="98" t="s">
        <v>285</v>
      </c>
      <c r="AR33" s="98" t="e">
        <f>RFI!#REF!</f>
        <v>#REF!</v>
      </c>
    </row>
    <row r="34" spans="43:44">
      <c r="AQ34" s="98" t="s">
        <v>286</v>
      </c>
      <c r="AR34" s="98" t="e">
        <f>RFI!#REF!</f>
        <v>#REF!</v>
      </c>
    </row>
    <row r="35" spans="43:44">
      <c r="AQ35" s="98" t="s">
        <v>287</v>
      </c>
      <c r="AR35" s="98" t="e">
        <f>RFI!#REF!</f>
        <v>#REF!</v>
      </c>
    </row>
    <row r="36" spans="43:44">
      <c r="AQ36" s="98" t="s">
        <v>545</v>
      </c>
      <c r="AR36" s="98" t="e">
        <f>RFI!#REF!</f>
        <v>#REF!</v>
      </c>
    </row>
    <row r="37" spans="43:44">
      <c r="AQ37" s="98" t="s">
        <v>546</v>
      </c>
      <c r="AR37" s="98" t="e">
        <f>RFI!#REF!</f>
        <v>#REF!</v>
      </c>
    </row>
    <row r="38" spans="43:44">
      <c r="AQ38" s="98" t="s">
        <v>547</v>
      </c>
      <c r="AR38" s="98" t="e">
        <f>RFI!#REF!</f>
        <v>#REF!</v>
      </c>
    </row>
    <row r="39" spans="43:44">
      <c r="AQ39" s="98" t="s">
        <v>548</v>
      </c>
      <c r="AR39" s="98" t="e">
        <f>RFI!#REF!</f>
        <v>#REF!</v>
      </c>
    </row>
    <row r="40" spans="43:44">
      <c r="AQ40" s="98" t="s">
        <v>549</v>
      </c>
      <c r="AR40" s="98" t="e">
        <f>RFI!#REF!</f>
        <v>#REF!</v>
      </c>
    </row>
    <row r="41" spans="43:44">
      <c r="AQ41" s="98" t="s">
        <v>550</v>
      </c>
      <c r="AR41" s="98" t="e">
        <f>RFI!#REF!</f>
        <v>#REF!</v>
      </c>
    </row>
    <row r="42" spans="43:44">
      <c r="AQ42" s="98" t="s">
        <v>551</v>
      </c>
      <c r="AR42" s="98" t="e">
        <f>RFI!#REF!</f>
        <v>#REF!</v>
      </c>
    </row>
    <row r="43" spans="43:44">
      <c r="AQ43" s="98" t="s">
        <v>552</v>
      </c>
      <c r="AR43" s="98" t="e">
        <f>RFI!#REF!</f>
        <v>#REF!</v>
      </c>
    </row>
    <row r="44" spans="43:44">
      <c r="AQ44" s="98" t="s">
        <v>553</v>
      </c>
      <c r="AR44" s="98" t="e">
        <f>RFI!#REF!</f>
        <v>#REF!</v>
      </c>
    </row>
    <row r="45" spans="43:44">
      <c r="AQ45" s="98" t="s">
        <v>289</v>
      </c>
      <c r="AR45" s="98" t="e">
        <f>RFI!#REF!</f>
        <v>#REF!</v>
      </c>
    </row>
    <row r="46" spans="43:44">
      <c r="AQ46" s="98" t="s">
        <v>290</v>
      </c>
      <c r="AR46" s="98" t="e">
        <f>RFI!#REF!</f>
        <v>#REF!</v>
      </c>
    </row>
    <row r="47" spans="43:44">
      <c r="AQ47" s="98" t="s">
        <v>554</v>
      </c>
      <c r="AR47" s="98" t="e">
        <f>RFI!#REF!</f>
        <v>#REF!</v>
      </c>
    </row>
    <row r="48" spans="43:44">
      <c r="AQ48" s="98" t="s">
        <v>555</v>
      </c>
      <c r="AR48" s="98" t="e">
        <f>RFI!#REF!</f>
        <v>#REF!</v>
      </c>
    </row>
    <row r="49" spans="43:44">
      <c r="AQ49" s="98" t="s">
        <v>556</v>
      </c>
      <c r="AR49" s="98" t="e">
        <f>RFI!#REF!</f>
        <v>#REF!</v>
      </c>
    </row>
    <row r="50" spans="43:44">
      <c r="AQ50" s="98" t="s">
        <v>558</v>
      </c>
      <c r="AR50" s="98" t="e">
        <f>RFI!#REF!</f>
        <v>#REF!</v>
      </c>
    </row>
    <row r="51" spans="43:44">
      <c r="AQ51" s="98" t="s">
        <v>559</v>
      </c>
      <c r="AR51" s="98" t="e">
        <f>RFI!#REF!</f>
        <v>#REF!</v>
      </c>
    </row>
    <row r="52" spans="43:44">
      <c r="AQ52" s="98" t="s">
        <v>560</v>
      </c>
      <c r="AR52" s="98" t="e">
        <f>RFI!#REF!</f>
        <v>#REF!</v>
      </c>
    </row>
    <row r="53" spans="43:44">
      <c r="AQ53" s="98" t="s">
        <v>530</v>
      </c>
      <c r="AR53" s="98" t="e">
        <f>RFI!#REF!</f>
        <v>#REF!</v>
      </c>
    </row>
    <row r="54" spans="43:44">
      <c r="AQ54" s="98" t="s">
        <v>561</v>
      </c>
      <c r="AR54" s="98" t="e">
        <f>RFI!#REF!</f>
        <v>#REF!</v>
      </c>
    </row>
    <row r="55" spans="43:44">
      <c r="AQ55" s="98" t="s">
        <v>562</v>
      </c>
      <c r="AR55" s="98" t="e">
        <f>RFI!#REF!</f>
        <v>#REF!</v>
      </c>
    </row>
    <row r="56" spans="43:44">
      <c r="AQ56" s="98" t="s">
        <v>563</v>
      </c>
      <c r="AR56" s="98" t="e">
        <f>RFI!#REF!</f>
        <v>#REF!</v>
      </c>
    </row>
    <row r="57" spans="43:44">
      <c r="AQ57" s="98" t="s">
        <v>565</v>
      </c>
      <c r="AR57" s="98" t="e">
        <f>RFI!#REF!</f>
        <v>#REF!</v>
      </c>
    </row>
    <row r="58" spans="43:44">
      <c r="AQ58" s="98" t="s">
        <v>566</v>
      </c>
      <c r="AR58" s="98" t="e">
        <f>RFI!#REF!</f>
        <v>#REF!</v>
      </c>
    </row>
    <row r="59" spans="43:44">
      <c r="AQ59" s="98" t="s">
        <v>567</v>
      </c>
      <c r="AR59" s="98" t="e">
        <f>RFI!#REF!</f>
        <v>#REF!</v>
      </c>
    </row>
    <row r="60" spans="43:44">
      <c r="AQ60" s="98" t="s">
        <v>568</v>
      </c>
      <c r="AR60" s="98" t="e">
        <f>RFI!#REF!</f>
        <v>#REF!</v>
      </c>
    </row>
    <row r="61" spans="43:44">
      <c r="AQ61" s="98" t="s">
        <v>569</v>
      </c>
      <c r="AR61" s="98" t="e">
        <f>RFI!#REF!</f>
        <v>#REF!</v>
      </c>
    </row>
    <row r="62" spans="43:44">
      <c r="AQ62" s="98" t="s">
        <v>570</v>
      </c>
      <c r="AR62" s="98" t="e">
        <f>RFI!#REF!</f>
        <v>#REF!</v>
      </c>
    </row>
    <row r="63" spans="43:44">
      <c r="AQ63" s="98" t="s">
        <v>571</v>
      </c>
      <c r="AR63" s="98" t="e">
        <f>RFI!#REF!</f>
        <v>#REF!</v>
      </c>
    </row>
    <row r="64" spans="43:44">
      <c r="AQ64" s="98" t="s">
        <v>572</v>
      </c>
      <c r="AR64" s="98" t="e">
        <f>RFI!#REF!</f>
        <v>#REF!</v>
      </c>
    </row>
    <row r="65" spans="43:44">
      <c r="AQ65" s="98" t="s">
        <v>573</v>
      </c>
      <c r="AR65" s="98" t="e">
        <f>RFI!#REF!</f>
        <v>#REF!</v>
      </c>
    </row>
    <row r="66" spans="43:44">
      <c r="AQ66" s="98" t="s">
        <v>574</v>
      </c>
      <c r="AR66" s="98" t="e">
        <f>RFI!#REF!</f>
        <v>#REF!</v>
      </c>
    </row>
    <row r="67" spans="43:44">
      <c r="AQ67" s="98" t="s">
        <v>575</v>
      </c>
      <c r="AR67" s="98" t="e">
        <f>RFI!#REF!</f>
        <v>#REF!</v>
      </c>
    </row>
    <row r="68" spans="43:44">
      <c r="AQ68" s="98" t="s">
        <v>576</v>
      </c>
      <c r="AR68" s="98" t="e">
        <f>RFI!#REF!</f>
        <v>#REF!</v>
      </c>
    </row>
    <row r="69" spans="43:44">
      <c r="AQ69" s="98" t="s">
        <v>577</v>
      </c>
      <c r="AR69" s="98" t="e">
        <f>RFI!#REF!</f>
        <v>#REF!</v>
      </c>
    </row>
    <row r="70" spans="43:44">
      <c r="AQ70" s="98" t="s">
        <v>578</v>
      </c>
      <c r="AR70" s="98" t="e">
        <f>RFI!#REF!</f>
        <v>#REF!</v>
      </c>
    </row>
    <row r="71" spans="43:44">
      <c r="AQ71" s="98" t="s">
        <v>579</v>
      </c>
      <c r="AR71" s="98" t="e">
        <f>RFI!#REF!</f>
        <v>#REF!</v>
      </c>
    </row>
    <row r="72" spans="43:44">
      <c r="AQ72" s="98" t="s">
        <v>580</v>
      </c>
      <c r="AR72" s="98" t="e">
        <f>RFI!#REF!</f>
        <v>#REF!</v>
      </c>
    </row>
    <row r="73" spans="43:44">
      <c r="AQ73" s="98" t="s">
        <v>591</v>
      </c>
      <c r="AR73" s="98" t="e">
        <f>RFI!#REF!</f>
        <v>#REF!</v>
      </c>
    </row>
    <row r="74" spans="43:44">
      <c r="AQ74" s="98" t="s">
        <v>592</v>
      </c>
      <c r="AR74" s="98" t="e">
        <f>RFI!#REF!</f>
        <v>#REF!</v>
      </c>
    </row>
    <row r="75" spans="43:44">
      <c r="AQ75" s="98" t="s">
        <v>593</v>
      </c>
      <c r="AR75" s="98" t="e">
        <f>RFI!#REF!</f>
        <v>#REF!</v>
      </c>
    </row>
    <row r="76" spans="43:44">
      <c r="AQ76" s="98" t="s">
        <v>594</v>
      </c>
      <c r="AR76" s="98" t="e">
        <f>RFI!#REF!</f>
        <v>#REF!</v>
      </c>
    </row>
    <row r="77" spans="43:44">
      <c r="AQ77" s="98" t="s">
        <v>595</v>
      </c>
      <c r="AR77" s="98" t="e">
        <f>RFI!#REF!</f>
        <v>#REF!</v>
      </c>
    </row>
    <row r="78" spans="43:44">
      <c r="AQ78" s="98" t="s">
        <v>596</v>
      </c>
      <c r="AR78" s="98" t="e">
        <f>RFI!#REF!</f>
        <v>#REF!</v>
      </c>
    </row>
    <row r="79" spans="43:44">
      <c r="AQ79" s="98" t="s">
        <v>597</v>
      </c>
      <c r="AR79" s="98" t="e">
        <f>RFI!#REF!</f>
        <v>#REF!</v>
      </c>
    </row>
    <row r="80" spans="43:44">
      <c r="AQ80" s="98" t="s">
        <v>603</v>
      </c>
      <c r="AR80" s="98" t="e">
        <f>RFI!#REF!</f>
        <v>#REF!</v>
      </c>
    </row>
    <row r="81" spans="43:44">
      <c r="AQ81" s="98" t="s">
        <v>605</v>
      </c>
      <c r="AR81" s="98" t="e">
        <f>RFI!#REF!</f>
        <v>#REF!</v>
      </c>
    </row>
    <row r="82" spans="43:44">
      <c r="AQ82" s="98" t="s">
        <v>604</v>
      </c>
      <c r="AR82" s="98" t="e">
        <f>RFI!#REF!</f>
        <v>#REF!</v>
      </c>
    </row>
    <row r="83" spans="43:44">
      <c r="AQ83" s="98" t="s">
        <v>598</v>
      </c>
      <c r="AR83" s="98" t="e">
        <f>RFI!#REF!</f>
        <v>#REF!</v>
      </c>
    </row>
    <row r="84" spans="43:44">
      <c r="AQ84" s="98" t="s">
        <v>599</v>
      </c>
      <c r="AR84" s="98" t="e">
        <f>RFI!#REF!</f>
        <v>#REF!</v>
      </c>
    </row>
    <row r="85" spans="43:44">
      <c r="AQ85" s="98" t="s">
        <v>600</v>
      </c>
      <c r="AR85" s="98" t="e">
        <f>RFI!#REF!</f>
        <v>#REF!</v>
      </c>
    </row>
    <row r="86" spans="43:44">
      <c r="AQ86" s="98" t="s">
        <v>601</v>
      </c>
      <c r="AR86" s="98" t="e">
        <f>RFI!#REF!</f>
        <v>#REF!</v>
      </c>
    </row>
    <row r="87" spans="43:44">
      <c r="AQ87" s="98" t="s">
        <v>602</v>
      </c>
      <c r="AR87" s="98" t="e">
        <f>RFI!#REF!</f>
        <v>#REF!</v>
      </c>
    </row>
  </sheetData>
  <sheetProtection algorithmName="SHA-512" hashValue="daqSApkqsHYOHQvMlBDaaX0y8koip9hyAc2u6wHt4v5HToH22kjb7+P4MoSCyRdW/Pkib7onZsIQqNWUuIOLIg==" saltValue="+5rtuMtGseKo6N8oqWduAQ==" spinCount="100000" sheet="1" objects="1" scenarios="1"/>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d51aef4-e0a9-45c1-bbfa-9b0280524502" xsi:nil="true"/>
    <lcf76f155ced4ddcb4097134ff3c332f xmlns="04f5847c-0ba5-47d9-a407-aa3e38e007a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FE63C724833A543AC7FDF5C5BC23518" ma:contentTypeVersion="19" ma:contentTypeDescription="Create a new document." ma:contentTypeScope="" ma:versionID="e6b0e629658c5ea169c58acb3057e72c">
  <xsd:schema xmlns:xsd="http://www.w3.org/2001/XMLSchema" xmlns:xs="http://www.w3.org/2001/XMLSchema" xmlns:p="http://schemas.microsoft.com/office/2006/metadata/properties" xmlns:ns2="04f5847c-0ba5-47d9-a407-aa3e38e007ac" xmlns:ns3="bd51aef4-e0a9-45c1-bbfa-9b0280524502" targetNamespace="http://schemas.microsoft.com/office/2006/metadata/properties" ma:root="true" ma:fieldsID="f8ee36927f1fc744f0d4c1108497bca7" ns2:_="" ns3:_="">
    <xsd:import namespace="04f5847c-0ba5-47d9-a407-aa3e38e007ac"/>
    <xsd:import namespace="bd51aef4-e0a9-45c1-bbfa-9b0280524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f5847c-0ba5-47d9-a407-aa3e38e007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94a060-b840-4601-8d4a-360a5c1501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51aef4-e0a9-45c1-bbfa-9b02805245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209cf9-d8c3-49d4-994e-58d5fb9cc703}" ma:internalName="TaxCatchAll" ma:showField="CatchAllData" ma:web="bd51aef4-e0a9-45c1-bbfa-9b0280524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F58D5D-B7FF-4D46-A8FB-1BEFA986AB73}">
  <ds:schemaRefs>
    <ds:schemaRef ds:uri="http://schemas.microsoft.com/office/2006/documentManagement/types"/>
    <ds:schemaRef ds:uri="http://purl.org/dc/terms/"/>
    <ds:schemaRef ds:uri="http://purl.org/dc/elements/1.1/"/>
    <ds:schemaRef ds:uri="http://schemas.microsoft.com/office/2006/metadata/properties"/>
    <ds:schemaRef ds:uri="http://www.w3.org/XML/1998/namespace"/>
    <ds:schemaRef ds:uri="bd51aef4-e0a9-45c1-bbfa-9b0280524502"/>
    <ds:schemaRef ds:uri="http://schemas.microsoft.com/office/infopath/2007/PartnerControls"/>
    <ds:schemaRef ds:uri="http://schemas.openxmlformats.org/package/2006/metadata/core-properties"/>
    <ds:schemaRef ds:uri="04f5847c-0ba5-47d9-a407-aa3e38e007ac"/>
    <ds:schemaRef ds:uri="http://purl.org/dc/dcmitype/"/>
  </ds:schemaRefs>
</ds:datastoreItem>
</file>

<file path=customXml/itemProps2.xml><?xml version="1.0" encoding="utf-8"?>
<ds:datastoreItem xmlns:ds="http://schemas.openxmlformats.org/officeDocument/2006/customXml" ds:itemID="{57FC326E-F11F-4B5D-9707-A10047FFDBE1}">
  <ds:schemaRefs>
    <ds:schemaRef ds:uri="http://schemas.microsoft.com/sharepoint/v3/contenttype/forms"/>
  </ds:schemaRefs>
</ds:datastoreItem>
</file>

<file path=customXml/itemProps3.xml><?xml version="1.0" encoding="utf-8"?>
<ds:datastoreItem xmlns:ds="http://schemas.openxmlformats.org/officeDocument/2006/customXml" ds:itemID="{6F7873F5-60A7-41B6-8D23-98C871DA0D1B}"/>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Introduction</vt:lpstr>
      <vt:lpstr>RFI</vt:lpstr>
      <vt:lpstr>Settings</vt:lpstr>
      <vt:lpstr>Drop-down</vt:lpstr>
      <vt:lpstr>Dati Dashboard</vt:lpstr>
      <vt:lpstr>'Drop-down'!AgencyEmployeesDropdown</vt:lpstr>
      <vt:lpstr>'Drop-down'!AgencyEmployeesNumber</vt:lpstr>
      <vt:lpstr>'Drop-down'!CountriesDropdown</vt:lpstr>
      <vt:lpstr>'Drop-down'!CountriesNumber</vt:lpstr>
      <vt:lpstr>'Drop-down'!CurrencyDropdown</vt:lpstr>
      <vt:lpstr>'Drop-down'!CurrencyNumber</vt:lpstr>
      <vt:lpstr>RFI!Print_Area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Siffredi</dc:creator>
  <cp:lastModifiedBy>Stefano Arbitrio</cp:lastModifiedBy>
  <dcterms:created xsi:type="dcterms:W3CDTF">2022-12-16T09:53:34Z</dcterms:created>
  <dcterms:modified xsi:type="dcterms:W3CDTF">2025-12-09T10:42:08Z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0x0101006FE63C724833A543AC7FDF5C5BC23518</vt:lpwstr>
  </property>
  <property fmtid="{D5CDD505-2E9C-101B-9397-08002B2CF9AE}" pid="3" name="MediaServiceImageTags">
    <vt:lpwstr/>
  </property>
</Properties>
</file>