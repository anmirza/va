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viaint.sharepoint.com/sites/vaconsulting/Documenti condivisi/Attività/1. VApproach/1. Pitch Process/5. RFI/"/>
    </mc:Choice>
  </mc:AlternateContent>
  <xr:revisionPtr revIDLastSave="432" documentId="13_ncr:1_{5565BDAE-500F-5F4D-9025-DF341F4ECCBB}" xr6:coauthVersionLast="47" xr6:coauthVersionMax="47" xr10:uidLastSave="{450D31A9-8045-484F-ACF6-603BE1801617}"/>
  <bookViews>
    <workbookView xWindow="38360" yWindow="620" windowWidth="24180" windowHeight="26360" activeTab="1" xr2:uid="{00EFFA60-BA18-4B11-9DC7-47D56DC19B03}"/>
  </bookViews>
  <sheets>
    <sheet name="Introduction" sheetId="3" r:id="rId1"/>
    <sheet name="RFI" sheetId="2" r:id="rId2"/>
    <sheet name="Settings" sheetId="6" r:id="rId3"/>
    <sheet name="Drop-down" sheetId="5" r:id="rId4"/>
    <sheet name="Dati Dashboard" sheetId="8" state="hidden" r:id="rId5"/>
  </sheets>
  <definedNames>
    <definedName name="AgencyEmployeesDropdown" localSheetId="3">'Drop-down'!$F$3</definedName>
    <definedName name="AgencyEmployeesDropdown">#REF!</definedName>
    <definedName name="AgencyEmployeesNumber" localSheetId="3">'Drop-down'!$F$2</definedName>
    <definedName name="AgencyEmployeesNumber">#REF!</definedName>
    <definedName name="AgencyOwnershipDropdown" localSheetId="3">'Drop-down'!#REF!</definedName>
    <definedName name="AgencyOwnershipDropdown">#REF!</definedName>
    <definedName name="AgencyOwnershipNumber" localSheetId="3">'Drop-down'!#REF!</definedName>
    <definedName name="AgencyOwnershipNumber">#REF!</definedName>
    <definedName name="Billable" localSheetId="3">#REF!</definedName>
    <definedName name="Billable">#REF!</definedName>
    <definedName name="CountriesDropdown" localSheetId="3">'Drop-down'!$D$3</definedName>
    <definedName name="CountriesDropdown">#REF!</definedName>
    <definedName name="CountriesNumber" localSheetId="3">'Drop-down'!$D$2</definedName>
    <definedName name="CountriesNumber">#REF!</definedName>
    <definedName name="Currency" localSheetId="3">#REF!</definedName>
    <definedName name="Currency">#REF!</definedName>
    <definedName name="CurrencyDropdown" localSheetId="3">'Drop-down'!$B$3</definedName>
    <definedName name="CurrencyDropdown">#REF!</definedName>
    <definedName name="CurrencyNumber" localSheetId="3">'Drop-down'!$B$2</definedName>
    <definedName name="CurrencyNumber">#REF!</definedName>
    <definedName name="DeleteValue" localSheetId="3">#REF!</definedName>
    <definedName name="DeleteValue">#REF!</definedName>
    <definedName name="Dept1" localSheetId="3">#REF!</definedName>
    <definedName name="Dept1">#REF!</definedName>
    <definedName name="Dept2" localSheetId="3">#REF!</definedName>
    <definedName name="Dept2">#REF!</definedName>
    <definedName name="Dept3" localSheetId="3">#REF!</definedName>
    <definedName name="Dept3">#REF!</definedName>
    <definedName name="Dept4" localSheetId="3">#REF!</definedName>
    <definedName name="Dept4">#REF!</definedName>
    <definedName name="Dept5" localSheetId="3">#REF!</definedName>
    <definedName name="Dept5">#REF!</definedName>
    <definedName name="Dept6" localSheetId="3">#REF!</definedName>
    <definedName name="Dept6">#REF!</definedName>
    <definedName name="Dept7" localSheetId="3">#REF!</definedName>
    <definedName name="Dept7">#REF!</definedName>
    <definedName name="Dept8" localSheetId="3">#REF!</definedName>
    <definedName name="Dept8">#REF!</definedName>
    <definedName name="Margin" localSheetId="3">#REF!</definedName>
    <definedName name="Margin">#REF!</definedName>
    <definedName name="_xlnm.Print_Area" localSheetId="1">RFI!$A$1:$AM$125</definedName>
    <definedName name="RangeAddRows" localSheetId="3">#REF!,#REF!,#REF!,#REF!,#REF!,#REF!,#REF!,#REF!</definedName>
    <definedName name="RangeAddRows">#REF!,#REF!,#REF!,#REF!,#REF!,#REF!,#REF!,#REF!</definedName>
    <definedName name="RangeAgencyEmployees" localSheetId="4">OFFSET(AgencyEmployeesDropdown,1,0):OFFSET(AgencyEmployeesDropdown,AgencyEmployeesNumber,0)</definedName>
    <definedName name="RangeAgencyEmployees" localSheetId="3">OFFSET('Drop-down'!AgencyEmployeesDropdown,1,0):OFFSET('Drop-down'!AgencyEmployeesDropdown,'Drop-down'!AgencyEmployeesNumber,0)</definedName>
    <definedName name="RangeAgencyEmployees">OFFSET(AgencyEmployeesDropdown,1,0):OFFSET(AgencyEmployeesDropdown,AgencyEmployeesNumber,0)</definedName>
    <definedName name="RangeAgencyOwnership" localSheetId="4">OFFSET(AgencyOwnershipDropdown,1,0):OFFSET(AgencyOwnershipDropdown,AgencyOwnershipNumber,0)</definedName>
    <definedName name="RangeAgencyOwnership" localSheetId="3">OFFSET('Drop-down'!AgencyOwnershipDropdown,1,0):OFFSET('Drop-down'!AgencyOwnershipDropdown,'Drop-down'!AgencyOwnershipNumber,0)</definedName>
    <definedName name="RangeAgencyOwnership">OFFSET(AgencyOwnershipDropdown,1,0):OFFSET(AgencyOwnershipDropdown,AgencyOwnershipNumber,0)</definedName>
    <definedName name="RangeCountries" localSheetId="4">OFFSET(CountriesDropdown,1,0):OFFSET(CountriesDropdown,CountriesNumber,0)</definedName>
    <definedName name="RangeCountries" localSheetId="3">OFFSET('Drop-down'!CountriesDropdown,1,0):OFFSET('Drop-down'!CountriesDropdown,'Drop-down'!CountriesNumber,0)</definedName>
    <definedName name="RangeCountries">OFFSET(CountriesDropdown,1,0):OFFSET(CountriesDropdown,CountriesNumber,0)</definedName>
    <definedName name="RangeCurrencies" localSheetId="4">OFFSET(CurrencyDropdown,1,0):OFFSET(CurrencyDropdown,CurrencyNumber,0)</definedName>
    <definedName name="RangeCurrencies" localSheetId="3">OFFSET('Drop-down'!CurrencyDropdown,1,0):OFFSET('Drop-down'!CurrencyDropdown,'Drop-down'!CurrencyNumber,0)</definedName>
    <definedName name="RangeCurrencies">OFFSET(CurrencyDropdown,1,0):OFFSET(CurrencyDropdown,CurrencyNumber,0)</definedName>
    <definedName name="RangeDeleteRow" localSheetId="3">#REF!</definedName>
    <definedName name="RangeDeleteRow">#REF!</definedName>
    <definedName name="RangeTableTex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H2" i="5"/>
  <c r="F76" i="2"/>
  <c r="X2" i="8"/>
  <c r="W2" i="8"/>
  <c r="V2" i="8"/>
  <c r="U2" i="8"/>
  <c r="T2" i="8"/>
  <c r="S2" i="8"/>
  <c r="R2" i="8"/>
  <c r="Q2" i="8"/>
  <c r="P2" i="8"/>
  <c r="O2" i="8"/>
  <c r="A2" i="8"/>
  <c r="AR87" i="8"/>
  <c r="AR86" i="8"/>
  <c r="AR85" i="8"/>
  <c r="AR84" i="8"/>
  <c r="AR83" i="8"/>
  <c r="AR82" i="8"/>
  <c r="AR81" i="8"/>
  <c r="AR80" i="8"/>
  <c r="AR79" i="8"/>
  <c r="AR78" i="8"/>
  <c r="AR77" i="8"/>
  <c r="AR76" i="8"/>
  <c r="AR75" i="8"/>
  <c r="AR74" i="8"/>
  <c r="AR73" i="8"/>
  <c r="AR72" i="8"/>
  <c r="AR71" i="8"/>
  <c r="AR70" i="8"/>
  <c r="AR69" i="8"/>
  <c r="AR68" i="8"/>
  <c r="AR67" i="8"/>
  <c r="AR66" i="8"/>
  <c r="AR65" i="8"/>
  <c r="AR64" i="8"/>
  <c r="AR63" i="8"/>
  <c r="AR61" i="8"/>
  <c r="AR62" i="8"/>
  <c r="AR60" i="8"/>
  <c r="AR58" i="8"/>
  <c r="AR59" i="8"/>
  <c r="AR57" i="8"/>
  <c r="AR56" i="8"/>
  <c r="AR54" i="8"/>
  <c r="AR55" i="8"/>
  <c r="AR53" i="8"/>
  <c r="AR51" i="8"/>
  <c r="AR52" i="8"/>
  <c r="AR50" i="8"/>
  <c r="AR49" i="8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R35" i="8"/>
  <c r="AR34" i="8"/>
  <c r="AR33" i="8"/>
  <c r="AR32" i="8"/>
  <c r="AR30" i="8"/>
  <c r="AR31" i="8"/>
  <c r="AR29" i="8"/>
  <c r="AR27" i="8"/>
  <c r="AR28" i="8"/>
  <c r="AR26" i="8"/>
  <c r="AR25" i="8"/>
  <c r="AR24" i="8"/>
  <c r="AR23" i="8"/>
  <c r="AR21" i="8"/>
  <c r="AR22" i="8"/>
  <c r="AR20" i="8"/>
  <c r="AR18" i="8"/>
  <c r="AR19" i="8"/>
  <c r="AR17" i="8"/>
  <c r="AR15" i="8"/>
  <c r="AR16" i="8"/>
  <c r="AR14" i="8"/>
  <c r="AR13" i="8"/>
  <c r="AR12" i="8"/>
  <c r="AR10" i="8"/>
  <c r="AR11" i="8"/>
  <c r="AR9" i="8"/>
  <c r="AR7" i="8"/>
  <c r="AR8" i="8"/>
  <c r="AR6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N2" i="8"/>
  <c r="M2" i="8"/>
  <c r="L2" i="8"/>
  <c r="K2" i="8"/>
  <c r="J2" i="8"/>
  <c r="I2" i="8"/>
  <c r="H2" i="8"/>
  <c r="G2" i="8"/>
  <c r="F2" i="8"/>
  <c r="E2" i="8"/>
  <c r="D2" i="8"/>
  <c r="C2" i="8"/>
  <c r="B2" i="8"/>
  <c r="F2" i="5"/>
  <c r="D2" i="5"/>
  <c r="B2" i="5"/>
  <c r="F20" i="3"/>
  <c r="AV18" i="8" l="1"/>
  <c r="AX18" i="8" s="1"/>
  <c r="BE2" i="8" s="1"/>
  <c r="AV13" i="8"/>
  <c r="AX13" i="8" s="1"/>
  <c r="AZ2" i="8" s="1"/>
  <c r="AV17" i="8"/>
  <c r="AX17" i="8" s="1"/>
  <c r="BD2" i="8" s="1"/>
  <c r="AV5" i="8"/>
  <c r="AX5" i="8" s="1"/>
  <c r="AR2" i="8" s="1"/>
  <c r="AV15" i="8"/>
  <c r="AX15" i="8" s="1"/>
  <c r="BB2" i="8" s="1"/>
  <c r="AV16" i="8"/>
  <c r="AX16" i="8" s="1"/>
  <c r="BC2" i="8" s="1"/>
  <c r="AV6" i="8"/>
  <c r="AX6" i="8" s="1"/>
  <c r="AS2" i="8" s="1"/>
  <c r="AV8" i="8"/>
  <c r="AX8" i="8" s="1"/>
  <c r="AU2" i="8" s="1"/>
  <c r="AV10" i="8"/>
  <c r="AX10" i="8" s="1"/>
  <c r="AW2" i="8" s="1"/>
  <c r="AV11" i="8"/>
  <c r="AX11" i="8" s="1"/>
  <c r="AX2" i="8" s="1"/>
  <c r="AV14" i="8"/>
  <c r="AX14" i="8" s="1"/>
  <c r="BA2" i="8" s="1"/>
  <c r="AV7" i="8"/>
  <c r="AX7" i="8" s="1"/>
  <c r="AT2" i="8" s="1"/>
  <c r="AV9" i="8"/>
  <c r="AX9" i="8" s="1"/>
  <c r="AV2" i="8" s="1"/>
  <c r="AV12" i="8"/>
  <c r="AX12" i="8" s="1"/>
  <c r="AY2" i="8" s="1"/>
  <c r="AS5" i="8"/>
  <c r="AS6" i="8" s="1"/>
  <c r="AQ2" i="8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<sst xmlns="http://schemas.openxmlformats.org/spreadsheetml/2006/main" count="671" uniqueCount="596">
  <si>
    <t>GENERAL INFORMATION</t>
  </si>
  <si>
    <t>D-U-N-S® number</t>
  </si>
  <si>
    <t>Company registration number:</t>
  </si>
  <si>
    <t>CONTACT DETAILS</t>
  </si>
  <si>
    <t>OTHER INFORMATION</t>
  </si>
  <si>
    <t>RFI - Request for Information</t>
  </si>
  <si>
    <t>END</t>
  </si>
  <si>
    <t>Social Media</t>
  </si>
  <si>
    <t>Agency:</t>
  </si>
  <si>
    <t>Latest update</t>
  </si>
  <si>
    <t>Legal form:</t>
  </si>
  <si>
    <t>Currency of rates</t>
  </si>
  <si>
    <t>Australian Dollar - AUD</t>
  </si>
  <si>
    <t>British Pound - GBP</t>
  </si>
  <si>
    <t>Euro - EUR</t>
  </si>
  <si>
    <t>Japanese Yen - JPY</t>
  </si>
  <si>
    <t>Swiss Franc - CHF</t>
  </si>
  <si>
    <t>US Dollar - USD</t>
  </si>
  <si>
    <t>Afghanistan Afghani - AFN</t>
  </si>
  <si>
    <t>Albanian Lek - ALL</t>
  </si>
  <si>
    <t>Algerian Dinar - DZD</t>
  </si>
  <si>
    <t>Angolan Kwanza - AOA</t>
  </si>
  <si>
    <t>Argentine Peso - ARS</t>
  </si>
  <si>
    <t>Armenian Dram - AMD</t>
  </si>
  <si>
    <t>Aruban Florin - AWG</t>
  </si>
  <si>
    <t>Azerbaijan New Manat - AZN</t>
  </si>
  <si>
    <t>Bahamian Dollar - BSD</t>
  </si>
  <si>
    <t>Bahraini Dinar - BHD</t>
  </si>
  <si>
    <t>Bangladeshi Taka - BDT</t>
  </si>
  <si>
    <t>Barbados Dollar - BBD</t>
  </si>
  <si>
    <t>Belarusian Ruble - BYR</t>
  </si>
  <si>
    <t>Belize Dollar - BZD</t>
  </si>
  <si>
    <t>Bermudian Dollar - BMD</t>
  </si>
  <si>
    <t>Bhutan Ngultrum - BTN</t>
  </si>
  <si>
    <t>Bolivian Boliviano - BOB</t>
  </si>
  <si>
    <t>Bosnian Mark - BAM</t>
  </si>
  <si>
    <t>Botswana Pula - BWP</t>
  </si>
  <si>
    <t>Brazilian Real - BRL</t>
  </si>
  <si>
    <t>Brunei Dollar - BND</t>
  </si>
  <si>
    <t>Bulgarian Lev - BGN</t>
  </si>
  <si>
    <t>Burundi Franc - BIF</t>
  </si>
  <si>
    <t>CFA Franc BCEAO - XOF</t>
  </si>
  <si>
    <t>CFA Franc BEAC - XAF</t>
  </si>
  <si>
    <t>CFP Franc - XPF</t>
  </si>
  <si>
    <t>Cambodian Riel - KHR</t>
  </si>
  <si>
    <t>Canadian Dollar - CAD</t>
  </si>
  <si>
    <t>Cape Verde Escudo - CVE</t>
  </si>
  <si>
    <t>Cayman Islands Dollar - KYD</t>
  </si>
  <si>
    <t>Chilean Peso - CLP</t>
  </si>
  <si>
    <t>Chinese Yuan/Renminbi - CNY</t>
  </si>
  <si>
    <t>Colombian Peso - COP</t>
  </si>
  <si>
    <t>Comoros Franc - KMF</t>
  </si>
  <si>
    <t>Congolese Franc - CDF</t>
  </si>
  <si>
    <t>Costa Rican Colon - CRC</t>
  </si>
  <si>
    <t>Croatian Kuna - HRK</t>
  </si>
  <si>
    <t>Cuban Convertible Peso - CUC</t>
  </si>
  <si>
    <t>Cuban Peso - CUP</t>
  </si>
  <si>
    <t>Czech Koruna - CZK</t>
  </si>
  <si>
    <t>Danish Krone - DKK</t>
  </si>
  <si>
    <t>Djibouti Franc - DJF</t>
  </si>
  <si>
    <t>Dominican R Peso - DOP</t>
  </si>
  <si>
    <t>East Caribbean Dollar - XCD</t>
  </si>
  <si>
    <t>Egyptian Pound - EGP</t>
  </si>
  <si>
    <t>El Salvador Colon - SVC</t>
  </si>
  <si>
    <t>Ethiopian Birr - ETB</t>
  </si>
  <si>
    <t>Falkland Islands Pound - FKP</t>
  </si>
  <si>
    <t>Fiji Dollar - FJD</t>
  </si>
  <si>
    <t>Gambian Dalasi - GMD</t>
  </si>
  <si>
    <t>Georgian Lari - GEL</t>
  </si>
  <si>
    <t>Ghanaian New Cedi - GHS</t>
  </si>
  <si>
    <t>Gibraltar Pound - GIP</t>
  </si>
  <si>
    <t>Gold (oz) - XAU</t>
  </si>
  <si>
    <t>Guatemalan Quetzal - GTQ</t>
  </si>
  <si>
    <t>Guinea Franc - GNF</t>
  </si>
  <si>
    <t>Guyanese Dollar - GYD</t>
  </si>
  <si>
    <t>Haitian Gourde - HTG</t>
  </si>
  <si>
    <t>Honduran Lempira - HNL</t>
  </si>
  <si>
    <t>Hong Kong Dollar - HKD</t>
  </si>
  <si>
    <t>Hungarian Forint - HUF</t>
  </si>
  <si>
    <t>Iceland Krona - ISK</t>
  </si>
  <si>
    <t>Indian Rupee - INR</t>
  </si>
  <si>
    <t>Indonesian Rupiah - IDR</t>
  </si>
  <si>
    <t>Iranian Rial - IRR</t>
  </si>
  <si>
    <t>Iraqi Dinar - IQD</t>
  </si>
  <si>
    <t>Israeli New Shekel - ILS</t>
  </si>
  <si>
    <t>Jamaican Dollar - JMD</t>
  </si>
  <si>
    <t>Jordanian Dinar - JOD</t>
  </si>
  <si>
    <t>Kazakhstan Tenge - KZT</t>
  </si>
  <si>
    <t>Kenyan Shilling - KES</t>
  </si>
  <si>
    <t>Kuwaiti Dinar - KWD</t>
  </si>
  <si>
    <t>Kyrgyzstanian Som - KGS</t>
  </si>
  <si>
    <t>Lao Kip - LAK</t>
  </si>
  <si>
    <t>Latvian Lats - LVL</t>
  </si>
  <si>
    <t>Lebanese Pound - LBP</t>
  </si>
  <si>
    <t>Lesotho Loti - LSL</t>
  </si>
  <si>
    <t>Liberian Dollar - LRD</t>
  </si>
  <si>
    <t>Libyan Dinar - LYD</t>
  </si>
  <si>
    <t>Lithuanian Litas - LTL</t>
  </si>
  <si>
    <t>Macau Pataca - MOP</t>
  </si>
  <si>
    <t>Macedonian Denar - MKD</t>
  </si>
  <si>
    <t>Malagasy Ariary - MGA</t>
  </si>
  <si>
    <t>Malawi Kwacha - MWK</t>
  </si>
  <si>
    <t>Malaysian Ringgit - MYR</t>
  </si>
  <si>
    <t>Maldive Rufiyaa - MVR</t>
  </si>
  <si>
    <t>Mauritanian Ouguiya - MRO</t>
  </si>
  <si>
    <t>Mauritius Rupee - MUR</t>
  </si>
  <si>
    <t>Mexican Peso - MXN</t>
  </si>
  <si>
    <t>Moldovan Leu - MDL</t>
  </si>
  <si>
    <t>Mongolian Tugrik - MNT</t>
  </si>
  <si>
    <t>Moroccan Dirham - MAD</t>
  </si>
  <si>
    <t>Mozambique New Metical - MZN</t>
  </si>
  <si>
    <t>Myanmar Kyat - MMK</t>
  </si>
  <si>
    <t>NL Antillian Guilder - ANG</t>
  </si>
  <si>
    <t>Namibia Dollar - NAD</t>
  </si>
  <si>
    <t>Nepalese Rupee - NPR</t>
  </si>
  <si>
    <t>New Zealand Dollar - NZD</t>
  </si>
  <si>
    <t>Nicaraguan Cordoba Oro - NIO</t>
  </si>
  <si>
    <t>Nigerian Naira - NGN</t>
  </si>
  <si>
    <t>North Korean Won - KPW</t>
  </si>
  <si>
    <t>Norwegian Kroner - NOK</t>
  </si>
  <si>
    <t>Omani Rial - OMR</t>
  </si>
  <si>
    <t>Pakistan Rupee - PKR</t>
  </si>
  <si>
    <t>Panamanian Balboa - PAB</t>
  </si>
  <si>
    <t>Papua New Guinea Kina - PGK</t>
  </si>
  <si>
    <t>Paraguay Guarani - PYG</t>
  </si>
  <si>
    <t>Peruvian Nuevo Sol - PEN</t>
  </si>
  <si>
    <t>Philippine Peso - PHP</t>
  </si>
  <si>
    <t>Polish Zloty - PLN</t>
  </si>
  <si>
    <t>Qatari Rial - QAR</t>
  </si>
  <si>
    <t>Romanian New Lei - RON</t>
  </si>
  <si>
    <t>Russian Rouble - RUB</t>
  </si>
  <si>
    <t>Rwandan Franc - RWF</t>
  </si>
  <si>
    <t>Samoan Tala - WST</t>
  </si>
  <si>
    <t>Sao Tome/Principe Dobra - STD</t>
  </si>
  <si>
    <t>Saudi Riyal - SAR</t>
  </si>
  <si>
    <t>Serbian Dinar - RSD</t>
  </si>
  <si>
    <t>Seychelles Rupee - SCR</t>
  </si>
  <si>
    <t>Sierra Leone Leone - SLL</t>
  </si>
  <si>
    <t>Silver (oz) - XAG</t>
  </si>
  <si>
    <t>Singapore Dollar - SGD</t>
  </si>
  <si>
    <t>Solomon Islands Dollar - SBD</t>
  </si>
  <si>
    <t>Somali Shilling - SOS</t>
  </si>
  <si>
    <t>South African Rand - ZAR</t>
  </si>
  <si>
    <t>South-Korean Won - KRW</t>
  </si>
  <si>
    <t>Sri Lanka Rupee - LKR</t>
  </si>
  <si>
    <t>St Helena Pound - SHP</t>
  </si>
  <si>
    <t>Sudanese Pound - SDG</t>
  </si>
  <si>
    <t>Suriname Dollar - SRD</t>
  </si>
  <si>
    <t>Swaziland Lilangeni - SZL</t>
  </si>
  <si>
    <t>Swedish Krona - SEK</t>
  </si>
  <si>
    <t>Syrian Pound - SYP</t>
  </si>
  <si>
    <t>Taiwan Dollar - TWD</t>
  </si>
  <si>
    <t>Tanzanian Shilling - TZS</t>
  </si>
  <si>
    <t>Thai Baht - THB</t>
  </si>
  <si>
    <t>Tonga Pa'anga - TOP</t>
  </si>
  <si>
    <t>Trinidad/Tobago Dollar - TTD</t>
  </si>
  <si>
    <t>Tunisian Dinar - TND</t>
  </si>
  <si>
    <t>Turkish New Lira - TRY</t>
  </si>
  <si>
    <t>Turkmenistan Manat - TMT</t>
  </si>
  <si>
    <t>Uganda Shilling - UGX</t>
  </si>
  <si>
    <t>Ukraine Hryvnia - UAH</t>
  </si>
  <si>
    <t>Uruguayan Peso - UYU</t>
  </si>
  <si>
    <t>United Arab Emir Dirham - AED</t>
  </si>
  <si>
    <t>Vanuatu Vatu - VUV</t>
  </si>
  <si>
    <t>Venezuelan Bolivar - VEF</t>
  </si>
  <si>
    <t>Vietnamese Dong - VND</t>
  </si>
  <si>
    <t>Yemeni Rial - YER</t>
  </si>
  <si>
    <t>Zambian Kwacha - ZMK</t>
  </si>
  <si>
    <t>Zimbabwe Dollar - ZWD</t>
  </si>
  <si>
    <t>Registered Business Name</t>
  </si>
  <si>
    <t>VAT Registration Number</t>
  </si>
  <si>
    <t>Year enstablished:</t>
  </si>
  <si>
    <t>REGISTERED OFFICE ADDRESS</t>
  </si>
  <si>
    <t>Name</t>
  </si>
  <si>
    <t>Surname</t>
  </si>
  <si>
    <t>CEO</t>
  </si>
  <si>
    <t>Parent Company Name</t>
  </si>
  <si>
    <t>Address</t>
  </si>
  <si>
    <t>Postcode</t>
  </si>
  <si>
    <t>City</t>
  </si>
  <si>
    <t>Country</t>
  </si>
  <si>
    <t>Telephone</t>
  </si>
  <si>
    <t>Mobile</t>
  </si>
  <si>
    <t>Email</t>
  </si>
  <si>
    <t>KNOWLEDGE &amp; COMPETENCIES</t>
  </si>
  <si>
    <t>Automotive &amp; Mobility</t>
  </si>
  <si>
    <t>Travel, Tourism &amp; Hospitality</t>
  </si>
  <si>
    <t>Communication Areas</t>
  </si>
  <si>
    <t>Food &amp; Beverage</t>
  </si>
  <si>
    <t>Healthcare &amp; Pharma</t>
  </si>
  <si>
    <t>Energy</t>
  </si>
  <si>
    <t>Beverage</t>
  </si>
  <si>
    <t>Lifestyle</t>
  </si>
  <si>
    <t>Pet Care</t>
  </si>
  <si>
    <t>Tobacco</t>
  </si>
  <si>
    <t>Sport &amp; Outdoor</t>
  </si>
  <si>
    <t>Beauty &amp; Personal Care</t>
  </si>
  <si>
    <t>Consumer Goods</t>
  </si>
  <si>
    <t>Corporate &amp; B2B</t>
  </si>
  <si>
    <t>Electronics &amp; Technology</t>
  </si>
  <si>
    <t>Entertainment &amp; Media</t>
  </si>
  <si>
    <t>Fashion &amp; Luxury</t>
  </si>
  <si>
    <t>Home &amp; Living</t>
  </si>
  <si>
    <t>Mobility &amp; Transportation</t>
  </si>
  <si>
    <t>Category</t>
  </si>
  <si>
    <t>Agency Currency</t>
  </si>
  <si>
    <t>Total</t>
  </si>
  <si>
    <t>Services</t>
  </si>
  <si>
    <t>Strategic Planning</t>
  </si>
  <si>
    <t>Campaign Creation</t>
  </si>
  <si>
    <t>Creative Production</t>
  </si>
  <si>
    <t>Reputation Management</t>
  </si>
  <si>
    <t>Media Relations</t>
  </si>
  <si>
    <t>Crisis Management</t>
  </si>
  <si>
    <t>Brand Audit</t>
  </si>
  <si>
    <t>Media Management</t>
  </si>
  <si>
    <t>Media Planning</t>
  </si>
  <si>
    <t>Media Buying</t>
  </si>
  <si>
    <t>Digital Marketing</t>
  </si>
  <si>
    <t>SEO</t>
  </si>
  <si>
    <t>SEM</t>
  </si>
  <si>
    <t>Number of agency employees</t>
  </si>
  <si>
    <t>Afghanistan</t>
  </si>
  <si>
    <t>1 to 10</t>
  </si>
  <si>
    <t>Albania</t>
  </si>
  <si>
    <t>11 to 50</t>
  </si>
  <si>
    <t>Algeria</t>
  </si>
  <si>
    <t>51 to 100</t>
  </si>
  <si>
    <t>Andorra</t>
  </si>
  <si>
    <t>101 to 250</t>
  </si>
  <si>
    <t>Angola</t>
  </si>
  <si>
    <t>251 to 400</t>
  </si>
  <si>
    <t>Antigua and Barbuda</t>
  </si>
  <si>
    <t>401 +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</si>
  <si>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</si>
  <si>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</si>
  <si>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</si>
  <si>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</si>
  <si>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</si>
  <si>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</si>
  <si>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</si>
  <si>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</si>
  <si>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</si>
  <si>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</si>
  <si>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</si>
  <si>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</si>
  <si>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</si>
  <si>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</si>
  <si>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</si>
  <si>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</si>
  <si>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</si>
  <si>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</si>
  <si>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</si>
  <si>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</si>
  <si>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</t>
  </si>
  <si>
    <t>Burma (Myanmar)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</si>
  <si>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</si>
  <si>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</si>
  <si>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</si>
  <si>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</si>
  <si>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</si>
  <si>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</si>
  <si>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</si>
  <si>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</si>
  <si>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</si>
  <si>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</si>
  <si>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</si>
  <si>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</si>
  <si>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Democratic Republic of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</si>
  <si>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</si>
  <si>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</si>
  <si>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</si>
  <si>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</si>
  <si>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</si>
  <si>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</si>
  <si>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</si>
  <si>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</si>
  <si>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</si>
  <si>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</si>
  <si>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</si>
  <si>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</si>
  <si>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</si>
  <si>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</si>
  <si>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</si>
  <si>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</si>
  <si>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</si>
  <si>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</si>
  <si>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</si>
  <si>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</si>
  <si>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</si>
  <si>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</si>
  <si>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</si>
  <si>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</si>
  <si>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</si>
  <si>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</si>
  <si>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</si>
  <si>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</si>
  <si>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</si>
  <si>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</si>
  <si>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</si>
  <si>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</si>
  <si>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</si>
  <si>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</si>
  <si>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</si>
  <si>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</si>
  <si>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</si>
  <si>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</si>
  <si>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</si>
  <si>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</si>
  <si>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</si>
  <si>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</si>
  <si>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</si>
  <si>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</si>
  <si>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</si>
  <si>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</si>
  <si>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</si>
  <si>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</si>
  <si>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</si>
  <si>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</si>
  <si>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</si>
  <si>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</si>
  <si>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</si>
  <si>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</si>
  <si>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</si>
  <si>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</si>
  <si>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</si>
  <si>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</si>
  <si>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</si>
  <si>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</si>
  <si>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</si>
  <si>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</si>
  <si>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</si>
  <si>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</si>
  <si>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</si>
  <si>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</si>
  <si>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</si>
  <si>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</si>
  <si>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</si>
  <si>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</si>
  <si>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</si>
  <si>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</si>
  <si>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</si>
  <si>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</si>
  <si>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</si>
  <si>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</si>
  <si>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</si>
  <si>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</si>
  <si>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</si>
  <si>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</si>
  <si>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</si>
  <si>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</si>
  <si>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</si>
  <si>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</si>
  <si>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</si>
  <si>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</si>
  <si>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</si>
  <si>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</si>
  <si>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</si>
  <si>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</si>
  <si>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</si>
  <si>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</si>
  <si>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</si>
  <si>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</si>
  <si>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</si>
  <si>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</si>
  <si>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</si>
  <si>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</si>
  <si>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</si>
  <si>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</si>
  <si>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</si>
  <si>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</si>
  <si>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</si>
  <si>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</si>
  <si>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</si>
  <si>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&amp;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</si>
  <si>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</si>
  <si>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</si>
  <si>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</si>
  <si>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</si>
  <si>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</si>
  <si>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</si>
  <si>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</si>
  <si>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</si>
  <si>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</si>
  <si>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</si>
  <si>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</si>
  <si>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</si>
  <si>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</si>
  <si>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</si>
  <si>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</si>
  <si>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</si>
  <si>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</si>
  <si>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</si>
  <si>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</si>
  <si>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</si>
  <si>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</si>
  <si>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</si>
  <si>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</si>
  <si>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</si>
  <si>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</si>
  <si>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</si>
  <si>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</si>
  <si>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</si>
  <si>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</si>
  <si>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</si>
  <si>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</si>
  <si>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</si>
  <si>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</si>
  <si>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</si>
  <si>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</si>
  <si>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</si>
  <si>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</si>
  <si>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</si>
  <si>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</si>
  <si>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</si>
  <si>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</si>
  <si>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</si>
  <si>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</si>
  <si>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</si>
  <si>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</si>
  <si>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</si>
  <si>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</si>
  <si>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# of Employees</t>
  </si>
  <si>
    <t>Does your company propose specific services and/or tool(s) and/or app(s) you'd like to mention?</t>
  </si>
  <si>
    <t>Which AI tools are your Agencies currently utilising?</t>
  </si>
  <si>
    <t>Are there any AI implementations your Agencies anticipate adopting in the foreseeable future?</t>
  </si>
  <si>
    <t>Please describe the benefits that the utilisation of AI can deliver, providing specific case examples.</t>
  </si>
  <si>
    <t>Please elaborate on the ethical aspects of AI usage, specifically describing your compliance with ethical standards and privacy protection principles.</t>
  </si>
  <si>
    <t>Kindly describe your approach to the mitigation of risks associated with AI use.</t>
  </si>
  <si>
    <t>Please delineate your areas of expertise in communication, with percentage allocations for each. (in the past 3 years).</t>
  </si>
  <si>
    <t>The purpose of this RFI is to collect all the preliminary information from the agency.</t>
  </si>
  <si>
    <t>It is important to read and understand the RFI document before filling out the template.</t>
  </si>
  <si>
    <r>
      <rPr>
        <b/>
        <sz val="10"/>
        <color theme="1"/>
        <rFont val="Century Gothic"/>
        <family val="1"/>
      </rPr>
      <t>NOTE</t>
    </r>
    <r>
      <rPr>
        <sz val="10"/>
        <color theme="1"/>
        <rFont val="Century Gothic"/>
        <family val="1"/>
      </rPr>
      <t xml:space="preserve">: Some infomation, if not completed, will be parameterized to industry benchmarks
</t>
    </r>
  </si>
  <si>
    <t>Confidential © | VA Consulting All Rights Reserved</t>
  </si>
  <si>
    <t>HQ Milan - Piazza Velasca, 6</t>
  </si>
  <si>
    <t>HQ Rome - Via Pistoia, 11</t>
  </si>
  <si>
    <t>Strategic &amp; Consulting</t>
  </si>
  <si>
    <t>Creative &amp; Content</t>
  </si>
  <si>
    <t>Audio / Visual Production</t>
  </si>
  <si>
    <t>PR &amp; Events</t>
  </si>
  <si>
    <t>Above the Line</t>
  </si>
  <si>
    <t>Below the Line</t>
  </si>
  <si>
    <t>Analytics &amp; Reporting</t>
  </si>
  <si>
    <t>Email &amp; Content Marketing</t>
  </si>
  <si>
    <t>Brand Identity Development</t>
  </si>
  <si>
    <t>Positioning Strategy Development</t>
  </si>
  <si>
    <t>Marketing Research</t>
  </si>
  <si>
    <t>Consumer Insight</t>
  </si>
  <si>
    <t>Creative Concept Development</t>
  </si>
  <si>
    <t>Content Creattion Copywriting</t>
  </si>
  <si>
    <t>Graphic Design</t>
  </si>
  <si>
    <t>Point of Sale Materials</t>
  </si>
  <si>
    <t>Photography</t>
  </si>
  <si>
    <t>Illustration</t>
  </si>
  <si>
    <t>Motion Graphics &amp; Animation</t>
  </si>
  <si>
    <t>Video Production</t>
  </si>
  <si>
    <t>Audio Production</t>
  </si>
  <si>
    <t>Post Production &amp; Editing</t>
  </si>
  <si>
    <t>Public Relations Strategy</t>
  </si>
  <si>
    <t>Influencer Relations</t>
  </si>
  <si>
    <t>Press Releases &amp; Press Kits</t>
  </si>
  <si>
    <t>Event Organization &amp; Mng</t>
  </si>
  <si>
    <t>Sponsorshi Management</t>
  </si>
  <si>
    <t>Experiental Marketing</t>
  </si>
  <si>
    <t>Media Agencies Coordination</t>
  </si>
  <si>
    <t>Broadcast Advertising</t>
  </si>
  <si>
    <t>OOH / DOOH</t>
  </si>
  <si>
    <t>Direct Marketing</t>
  </si>
  <si>
    <t>Promotional Marketing</t>
  </si>
  <si>
    <t>In-store Marketing</t>
  </si>
  <si>
    <t>Sampling Campaigns</t>
  </si>
  <si>
    <t>Merchandising Strategy</t>
  </si>
  <si>
    <t>Digital Strategy</t>
  </si>
  <si>
    <t>Display &amp; Programmatic adv</t>
  </si>
  <si>
    <t>Performance Marketing</t>
  </si>
  <si>
    <t>Digital Data Analysis / Reporting</t>
  </si>
  <si>
    <t>Social media &amp; Influencer Marketing</t>
  </si>
  <si>
    <t>Social Media Strategy &amp; Management</t>
  </si>
  <si>
    <t>Community Management</t>
  </si>
  <si>
    <t>Paid Social Campaigns</t>
  </si>
  <si>
    <t>Influencer Marketing Strategy</t>
  </si>
  <si>
    <t>Social Listening</t>
  </si>
  <si>
    <t>Sentiment Analysis</t>
  </si>
  <si>
    <t>Technology &amp; Digital</t>
  </si>
  <si>
    <t>Web Developmente &amp; Manteinance</t>
  </si>
  <si>
    <t>App Development</t>
  </si>
  <si>
    <t>E-commerce Solution</t>
  </si>
  <si>
    <t>UX/UI Design</t>
  </si>
  <si>
    <t>CRM Integration &amp; Management</t>
  </si>
  <si>
    <t>Marketing Automation</t>
  </si>
  <si>
    <t>Martech Implementation</t>
  </si>
  <si>
    <t>Results &amp; Campaign Analysis</t>
  </si>
  <si>
    <t>Data-driven Marketing Insights</t>
  </si>
  <si>
    <t>Consumer Behavior Analysis</t>
  </si>
  <si>
    <t>ROI &amp; Performance Measurement</t>
  </si>
  <si>
    <t>Email Marketing Campaigns</t>
  </si>
  <si>
    <t>Newsletter Development</t>
  </si>
  <si>
    <t>Content Marketing Strategy</t>
  </si>
  <si>
    <t>Blog &amp; Article Creation</t>
  </si>
  <si>
    <t>White Papers &amp; E-books</t>
  </si>
  <si>
    <r>
      <rPr>
        <b/>
        <sz val="10"/>
        <color theme="1"/>
        <rFont val="Century Gothic"/>
        <family val="2"/>
      </rPr>
      <t>Mobile:</t>
    </r>
    <r>
      <rPr>
        <sz val="10"/>
        <color theme="1"/>
        <rFont val="Century Gothic"/>
        <family val="2"/>
      </rPr>
      <t xml:space="preserve"> +39 3890482133 | </t>
    </r>
    <r>
      <rPr>
        <b/>
        <sz val="10"/>
        <color theme="1"/>
        <rFont val="Century Gothic"/>
        <family val="2"/>
      </rPr>
      <t>Email:</t>
    </r>
    <r>
      <rPr>
        <sz val="10"/>
        <color theme="1"/>
        <rFont val="Century Gothic"/>
        <family val="2"/>
      </rPr>
      <t xml:space="preserve"> andrea.cenciarelli@va-consulting.com</t>
    </r>
  </si>
  <si>
    <r>
      <rPr>
        <b/>
        <sz val="10"/>
        <color theme="1"/>
        <rFont val="Century Gothic"/>
        <family val="2"/>
      </rPr>
      <t>Mobile:</t>
    </r>
    <r>
      <rPr>
        <sz val="10"/>
        <color theme="1"/>
        <rFont val="Century Gothic"/>
        <family val="2"/>
      </rPr>
      <t xml:space="preserve"> +39 3455339480 | </t>
    </r>
    <r>
      <rPr>
        <b/>
        <sz val="10"/>
        <color theme="1"/>
        <rFont val="Century Gothic"/>
        <family val="2"/>
      </rPr>
      <t>Email:</t>
    </r>
    <r>
      <rPr>
        <sz val="10"/>
        <color theme="1"/>
        <rFont val="Century Gothic"/>
        <family val="2"/>
      </rPr>
      <t xml:space="preserve"> matteo.siffredi@va-consulting.com</t>
    </r>
  </si>
  <si>
    <r>
      <rPr>
        <b/>
        <sz val="10"/>
        <color theme="1"/>
        <rFont val="Century Gothic"/>
        <family val="2"/>
      </rPr>
      <t>Mobile:</t>
    </r>
    <r>
      <rPr>
        <sz val="10"/>
        <color theme="1"/>
        <rFont val="Century Gothic"/>
        <family val="2"/>
      </rPr>
      <t xml:space="preserve"> +39 3334755586 | </t>
    </r>
    <r>
      <rPr>
        <b/>
        <sz val="10"/>
        <color theme="1"/>
        <rFont val="Century Gothic"/>
        <family val="2"/>
      </rPr>
      <t>Email:</t>
    </r>
    <r>
      <rPr>
        <sz val="10"/>
        <color theme="1"/>
        <rFont val="Century Gothic"/>
        <family val="2"/>
      </rPr>
      <t xml:space="preserve"> martina.vietri@va-consulting.com</t>
    </r>
  </si>
  <si>
    <r>
      <rPr>
        <b/>
        <sz val="10"/>
        <color theme="1"/>
        <rFont val="Century Gothic"/>
        <family val="2"/>
      </rPr>
      <t>Mobile:</t>
    </r>
    <r>
      <rPr>
        <sz val="10"/>
        <color theme="1"/>
        <rFont val="Century Gothic"/>
        <family val="2"/>
      </rPr>
      <t xml:space="preserve"> +39 3356368868 | </t>
    </r>
    <r>
      <rPr>
        <b/>
        <sz val="10"/>
        <color theme="1"/>
        <rFont val="Century Gothic"/>
        <family val="2"/>
      </rPr>
      <t>Email:</t>
    </r>
    <r>
      <rPr>
        <sz val="10"/>
        <color theme="1"/>
        <rFont val="Century Gothic"/>
        <family val="2"/>
      </rPr>
      <t xml:space="preserve"> flavia.arbitrio@va-consulting.com</t>
    </r>
  </si>
  <si>
    <t>Trade Marketing</t>
  </si>
  <si>
    <t>Media</t>
  </si>
  <si>
    <t>Retail</t>
  </si>
  <si>
    <t>Point-of-Sale (POS) Materials</t>
  </si>
  <si>
    <t>Trade Events</t>
  </si>
  <si>
    <t>Distribution Channel Analysis</t>
  </si>
  <si>
    <t>Distributor Relationship Management</t>
  </si>
  <si>
    <t>Channel Promotions</t>
  </si>
  <si>
    <t>Visual Merchandising</t>
  </si>
  <si>
    <t>Retail Sales Analysis</t>
  </si>
  <si>
    <t>Media Space Buying</t>
  </si>
  <si>
    <t>Editorial Planning</t>
  </si>
  <si>
    <t>Media Content Development</t>
  </si>
  <si>
    <t>Impact Analysis</t>
  </si>
  <si>
    <t>Media Monitoring</t>
  </si>
  <si>
    <t>Omnichannel Retail Strategy</t>
  </si>
  <si>
    <t>Merchandising &amp; Planogramming</t>
  </si>
  <si>
    <t>In-Store Customer Experience</t>
  </si>
  <si>
    <t>Mobile: +39 3455339480 | Email: matteo.siffredi@va-consulting.com</t>
  </si>
  <si>
    <t>Mobile: +39 3355718508 | Email: stefano.arbitrio@va-consulting.com</t>
  </si>
  <si>
    <t xml:space="preserve">Agency </t>
  </si>
  <si>
    <t>AR G 2024</t>
  </si>
  <si>
    <t>AR G 2023</t>
  </si>
  <si>
    <t>AR G 2022</t>
  </si>
  <si>
    <t>AR G 2021</t>
  </si>
  <si>
    <t>AR G 2020</t>
  </si>
  <si>
    <t>EBIDTA G 2024</t>
  </si>
  <si>
    <t>EBIDTA G 2023</t>
  </si>
  <si>
    <t>EBIDTA G 2022</t>
  </si>
  <si>
    <t>EBIDTA G 2021</t>
  </si>
  <si>
    <t>EBIDTA G 2020</t>
  </si>
  <si>
    <t>AR L 2024</t>
  </si>
  <si>
    <t>AR L 2023</t>
  </si>
  <si>
    <t>AR L 2022</t>
  </si>
  <si>
    <t>AR L 2021</t>
  </si>
  <si>
    <t>AR L 2020</t>
  </si>
  <si>
    <t>EBIDTA L 2024</t>
  </si>
  <si>
    <t>EBIDTA L 2023</t>
  </si>
  <si>
    <t>EBIDTA L 2022</t>
  </si>
  <si>
    <t>EBIDTA L 2021</t>
  </si>
  <si>
    <t>EBIDTA L 2020</t>
  </si>
  <si>
    <t>Main Capabilities</t>
  </si>
  <si>
    <t>Secondary Capabilities</t>
  </si>
  <si>
    <t>Additional Capabilities</t>
  </si>
  <si>
    <t>If you had to prioritize your positioning, which ones would best describe your company?</t>
  </si>
  <si>
    <t>Full Service</t>
  </si>
  <si>
    <t>ATL</t>
  </si>
  <si>
    <t>Tech Dev (Web site CRM Application)</t>
  </si>
  <si>
    <t>PR</t>
  </si>
  <si>
    <t>Influencer Marketing</t>
  </si>
  <si>
    <t>Market Positioning</t>
  </si>
  <si>
    <t>Event &amp; Experience</t>
  </si>
  <si>
    <t>Year Enstablished:</t>
  </si>
  <si>
    <t>Instagram</t>
  </si>
  <si>
    <t>Point of Sales Material</t>
  </si>
  <si>
    <t>ORGANIZATION &amp; STRUCTURE</t>
  </si>
  <si>
    <t>Company Level</t>
  </si>
  <si>
    <t>Trade Organizations</t>
  </si>
  <si>
    <t>Country Coverage</t>
  </si>
  <si>
    <t>General Manager</t>
  </si>
  <si>
    <t>Business Director</t>
  </si>
  <si>
    <t>ECD</t>
  </si>
  <si>
    <t>Executive Producer</t>
  </si>
  <si>
    <t>Linkedin</t>
  </si>
  <si>
    <t>SOCIAL MEDIA</t>
  </si>
  <si>
    <t>Official Website</t>
  </si>
  <si>
    <t>X (Twitter)</t>
  </si>
  <si>
    <t>Facebook</t>
  </si>
  <si>
    <t>Tiktok</t>
  </si>
  <si>
    <t>Pinterest</t>
  </si>
  <si>
    <t>Tumblr</t>
  </si>
  <si>
    <t>Snapchat</t>
  </si>
  <si>
    <t>Reddit</t>
  </si>
  <si>
    <t>Distributor Relationship Mng</t>
  </si>
  <si>
    <t>ABOUT</t>
  </si>
  <si>
    <t>About</t>
  </si>
  <si>
    <t>Philosophy &amp; Competitive Advantages</t>
  </si>
  <si>
    <t>Network Description</t>
  </si>
  <si>
    <t>Local Rapresentation</t>
  </si>
  <si>
    <t>Country Level</t>
  </si>
  <si>
    <t>Holding Company</t>
  </si>
  <si>
    <t>North America</t>
  </si>
  <si>
    <t>Worldwide Headquarter</t>
  </si>
  <si>
    <t>Latin America</t>
  </si>
  <si>
    <t>Regional Headquarters</t>
  </si>
  <si>
    <t>EMEA</t>
  </si>
  <si>
    <t>National Headquarters</t>
  </si>
  <si>
    <t>Europe</t>
  </si>
  <si>
    <t>Company</t>
  </si>
  <si>
    <t>APAC</t>
  </si>
  <si>
    <t>Subsidiary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</si>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</sst>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rgb="FFFF0000"/>
      <name val="Century Gothic"/>
      <family val="1"/>
    </font>
    <font>
      <sz val="10"/>
      <color theme="0"/>
      <name val="Century Gothic"/>
      <family val="1"/>
    </font>
    <font>
      <sz val="10"/>
      <color rgb="FFB1953A"/>
      <name val="Century Gothic"/>
      <family val="1"/>
    </font>
    <font>
      <sz val="11"/>
      <color theme="1"/>
      <name val="Calibri"/>
      <family val="2"/>
      <scheme val="minor"/>
    </font>
    <font>
      <b/>
      <sz val="16"/>
      <color theme="1"/>
      <name val="Century Gothic Grassetto"/>
    </font>
    <font>
      <sz val="15"/>
      <color rgb="FF000000"/>
      <name val="Helvetica Neue"/>
      <family val="2"/>
    </font>
    <font>
      <sz val="10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1C54"/>
      <name val="Century Gothic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1C54"/>
      <name val="Century Gothic"/>
      <family val="1"/>
    </font>
    <font>
      <b/>
      <sz val="10"/>
      <color theme="1"/>
      <name val="Century Gothic"/>
      <family val="2"/>
    </font>
    <font>
      <sz val="1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BE5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1953A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B1953A"/>
      </left>
      <right/>
      <top style="medium">
        <color rgb="FFB1953A"/>
      </top>
      <bottom/>
      <diagonal/>
    </border>
    <border>
      <left/>
      <right/>
      <top style="medium">
        <color rgb="FFB1953A"/>
      </top>
      <bottom/>
      <diagonal/>
    </border>
    <border>
      <left/>
      <right style="medium">
        <color rgb="FFB1953A"/>
      </right>
      <top style="medium">
        <color rgb="FFB1953A"/>
      </top>
      <bottom/>
      <diagonal/>
    </border>
    <border>
      <left style="medium">
        <color rgb="FFB1953A"/>
      </left>
      <right/>
      <top/>
      <bottom/>
      <diagonal/>
    </border>
    <border>
      <left/>
      <right style="medium">
        <color rgb="FFB1953A"/>
      </right>
      <top/>
      <bottom/>
      <diagonal/>
    </border>
    <border>
      <left style="medium">
        <color rgb="FFB1953A"/>
      </left>
      <right/>
      <top/>
      <bottom style="medium">
        <color rgb="FFB1953A"/>
      </bottom>
      <diagonal/>
    </border>
    <border>
      <left/>
      <right/>
      <top/>
      <bottom style="medium">
        <color rgb="FFB1953A"/>
      </bottom>
      <diagonal/>
    </border>
    <border>
      <left/>
      <right style="medium">
        <color rgb="FFB1953A"/>
      </right>
      <top/>
      <bottom style="medium">
        <color rgb="FFB1953A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9">
    <xf numFmtId="0" fontId="0" fillId="0" borderId="0"/>
    <xf numFmtId="0" fontId="4" fillId="0" borderId="2"/>
    <xf numFmtId="0" fontId="13" fillId="0" borderId="2"/>
    <xf numFmtId="0" fontId="17" fillId="0" borderId="2"/>
    <xf numFmtId="0" fontId="19" fillId="0" borderId="2"/>
    <xf numFmtId="0" fontId="13" fillId="0" borderId="2"/>
    <xf numFmtId="9" fontId="22" fillId="0" borderId="0" applyFont="0" applyFill="0" applyBorder="0" applyAlignment="0" applyProtection="0"/>
    <xf numFmtId="0" fontId="26" fillId="0" borderId="2"/>
    <xf numFmtId="9" fontId="3" fillId="0" borderId="2" applyFont="0" applyFill="0" applyBorder="0" applyAlignment="0" applyProtection="0"/>
  </cellStyleXfs>
  <cellXfs count="113">
    <xf numFmtId="0" fontId="0" fillId="0" borderId="0" xfId="0"/>
    <xf numFmtId="0" fontId="5" fillId="0" borderId="0" xfId="0" applyFont="1" applyProtection="1">
      <protection hidden="1"/>
    </xf>
    <xf numFmtId="0" fontId="12" fillId="0" borderId="0" xfId="0" applyFont="1" applyAlignment="1" applyProtection="1">
      <alignment vertical="center"/>
      <protection hidden="1"/>
    </xf>
    <xf numFmtId="0" fontId="5" fillId="0" borderId="5" xfId="0" applyFont="1" applyBorder="1" applyProtection="1">
      <protection hidden="1"/>
    </xf>
    <xf numFmtId="0" fontId="5" fillId="0" borderId="2" xfId="0" applyFont="1" applyBorder="1" applyProtection="1">
      <protection hidden="1"/>
    </xf>
    <xf numFmtId="0" fontId="13" fillId="2" borderId="2" xfId="2" applyFill="1" applyProtection="1">
      <protection hidden="1"/>
    </xf>
    <xf numFmtId="0" fontId="13" fillId="2" borderId="2" xfId="2" applyFill="1" applyAlignment="1" applyProtection="1">
      <alignment horizontal="left"/>
      <protection hidden="1"/>
    </xf>
    <xf numFmtId="0" fontId="17" fillId="0" borderId="2" xfId="3" applyAlignment="1" applyProtection="1">
      <alignment horizontal="left"/>
      <protection hidden="1"/>
    </xf>
    <xf numFmtId="0" fontId="17" fillId="0" borderId="2" xfId="3" applyProtection="1">
      <protection hidden="1"/>
    </xf>
    <xf numFmtId="0" fontId="18" fillId="4" borderId="7" xfId="3" applyFont="1" applyFill="1" applyBorder="1" applyAlignment="1" applyProtection="1">
      <alignment horizontal="left"/>
      <protection hidden="1"/>
    </xf>
    <xf numFmtId="0" fontId="17" fillId="3" borderId="7" xfId="3" applyFill="1" applyBorder="1" applyAlignment="1" applyProtection="1">
      <alignment horizontal="left"/>
      <protection hidden="1"/>
    </xf>
    <xf numFmtId="0" fontId="13" fillId="2" borderId="9" xfId="2" applyFill="1" applyBorder="1" applyProtection="1">
      <protection hidden="1"/>
    </xf>
    <xf numFmtId="0" fontId="13" fillId="2" borderId="10" xfId="2" applyFill="1" applyBorder="1" applyProtection="1">
      <protection hidden="1"/>
    </xf>
    <xf numFmtId="0" fontId="13" fillId="2" borderId="11" xfId="2" applyFill="1" applyBorder="1" applyProtection="1">
      <protection hidden="1"/>
    </xf>
    <xf numFmtId="0" fontId="13" fillId="2" borderId="12" xfId="2" applyFill="1" applyBorder="1" applyProtection="1">
      <protection hidden="1"/>
    </xf>
    <xf numFmtId="0" fontId="13" fillId="2" borderId="13" xfId="2" applyFill="1" applyBorder="1" applyProtection="1">
      <protection hidden="1"/>
    </xf>
    <xf numFmtId="0" fontId="14" fillId="2" borderId="2" xfId="2" applyFont="1" applyFill="1" applyAlignment="1" applyProtection="1">
      <alignment horizontal="center" vertical="center"/>
      <protection hidden="1"/>
    </xf>
    <xf numFmtId="0" fontId="14" fillId="5" borderId="2" xfId="2" applyFont="1" applyFill="1" applyAlignment="1" applyProtection="1">
      <alignment vertical="center"/>
      <protection locked="0"/>
    </xf>
    <xf numFmtId="0" fontId="13" fillId="0" borderId="2" xfId="2" applyProtection="1">
      <protection hidden="1"/>
    </xf>
    <xf numFmtId="0" fontId="5" fillId="2" borderId="2" xfId="2" applyFont="1" applyFill="1" applyAlignment="1" applyProtection="1">
      <alignment horizontal="left" vertical="top" wrapText="1"/>
      <protection hidden="1"/>
    </xf>
    <xf numFmtId="0" fontId="13" fillId="2" borderId="12" xfId="2" applyFill="1" applyBorder="1" applyAlignment="1" applyProtection="1">
      <alignment horizontal="left"/>
      <protection hidden="1"/>
    </xf>
    <xf numFmtId="0" fontId="13" fillId="2" borderId="13" xfId="2" applyFill="1" applyBorder="1" applyAlignment="1" applyProtection="1">
      <alignment horizontal="left"/>
      <protection hidden="1"/>
    </xf>
    <xf numFmtId="0" fontId="13" fillId="2" borderId="2" xfId="2" applyFill="1" applyAlignment="1" applyProtection="1">
      <alignment vertical="top"/>
      <protection hidden="1"/>
    </xf>
    <xf numFmtId="0" fontId="6" fillId="2" borderId="2" xfId="2" applyFont="1" applyFill="1" applyAlignment="1" applyProtection="1">
      <alignment horizontal="right"/>
      <protection hidden="1"/>
    </xf>
    <xf numFmtId="0" fontId="13" fillId="2" borderId="14" xfId="2" applyFill="1" applyBorder="1" applyProtection="1">
      <protection hidden="1"/>
    </xf>
    <xf numFmtId="0" fontId="13" fillId="2" borderId="15" xfId="2" applyFill="1" applyBorder="1" applyProtection="1">
      <protection hidden="1"/>
    </xf>
    <xf numFmtId="0" fontId="13" fillId="2" borderId="16" xfId="2" applyFill="1" applyBorder="1" applyProtection="1">
      <protection hidden="1"/>
    </xf>
    <xf numFmtId="14" fontId="6" fillId="2" borderId="2" xfId="2" applyNumberFormat="1" applyFont="1" applyFill="1" applyAlignment="1" applyProtection="1">
      <alignment horizontal="left"/>
      <protection hidden="1"/>
    </xf>
    <xf numFmtId="0" fontId="5" fillId="6" borderId="0" xfId="0" applyFont="1" applyFill="1" applyProtection="1">
      <protection hidden="1"/>
    </xf>
    <xf numFmtId="0" fontId="5" fillId="6" borderId="0" xfId="0" applyFont="1" applyFill="1" applyAlignment="1" applyProtection="1">
      <alignment horizontal="right"/>
      <protection hidden="1"/>
    </xf>
    <xf numFmtId="0" fontId="9" fillId="6" borderId="2" xfId="0" applyFont="1" applyFill="1" applyBorder="1" applyAlignment="1" applyProtection="1">
      <alignment horizontal="right"/>
      <protection hidden="1"/>
    </xf>
    <xf numFmtId="0" fontId="5" fillId="6" borderId="2" xfId="0" applyFont="1" applyFill="1" applyBorder="1" applyProtection="1">
      <protection hidden="1"/>
    </xf>
    <xf numFmtId="0" fontId="11" fillId="6" borderId="2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Protection="1">
      <protection hidden="1"/>
    </xf>
    <xf numFmtId="0" fontId="5" fillId="7" borderId="2" xfId="0" applyFont="1" applyFill="1" applyBorder="1" applyProtection="1"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5" xfId="0" applyFont="1" applyBorder="1" applyAlignment="1" applyProtection="1">
      <alignment horizontal="left" vertical="center"/>
      <protection hidden="1"/>
    </xf>
    <xf numFmtId="0" fontId="20" fillId="0" borderId="2" xfId="0" applyFont="1" applyBorder="1" applyAlignment="1" applyProtection="1">
      <alignment horizontal="left" vertical="center"/>
      <protection hidden="1"/>
    </xf>
    <xf numFmtId="0" fontId="5" fillId="6" borderId="2" xfId="0" applyFont="1" applyFill="1" applyBorder="1" applyAlignment="1" applyProtection="1">
      <alignment horizontal="center"/>
      <protection hidden="1"/>
    </xf>
    <xf numFmtId="0" fontId="5" fillId="0" borderId="8" xfId="0" applyFont="1" applyBorder="1" applyProtection="1">
      <protection hidden="1"/>
    </xf>
    <xf numFmtId="0" fontId="18" fillId="4" borderId="18" xfId="3" applyFont="1" applyFill="1" applyBorder="1" applyAlignment="1" applyProtection="1">
      <alignment horizontal="left"/>
      <protection hidden="1"/>
    </xf>
    <xf numFmtId="0" fontId="17" fillId="3" borderId="18" xfId="3" applyFill="1" applyBorder="1" applyAlignment="1" applyProtection="1">
      <alignment horizontal="left"/>
      <protection hidden="1"/>
    </xf>
    <xf numFmtId="0" fontId="9" fillId="6" borderId="2" xfId="4" applyFont="1" applyFill="1" applyProtection="1">
      <protection hidden="1"/>
    </xf>
    <xf numFmtId="0" fontId="9" fillId="6" borderId="2" xfId="4" applyFont="1" applyFill="1" applyAlignment="1" applyProtection="1">
      <alignment horizontal="right" vertical="center"/>
      <protection hidden="1"/>
    </xf>
    <xf numFmtId="0" fontId="9" fillId="6" borderId="2" xfId="4" applyFont="1" applyFill="1" applyAlignment="1" applyProtection="1">
      <alignment horizontal="left" vertical="center"/>
      <protection hidden="1"/>
    </xf>
    <xf numFmtId="0" fontId="9" fillId="6" borderId="2" xfId="4" applyFont="1" applyFill="1" applyAlignment="1" applyProtection="1">
      <alignment horizontal="left" vertical="center" wrapText="1"/>
      <protection hidden="1"/>
    </xf>
    <xf numFmtId="0" fontId="21" fillId="0" borderId="0" xfId="0" applyFont="1" applyProtection="1">
      <protection hidden="1"/>
    </xf>
    <xf numFmtId="0" fontId="5" fillId="7" borderId="1" xfId="0" applyFont="1" applyFill="1" applyBorder="1" applyProtection="1">
      <protection hidden="1"/>
    </xf>
    <xf numFmtId="0" fontId="5" fillId="2" borderId="8" xfId="5" applyFon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3" xfId="5" applyFon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 applyProtection="1">
      <protection hidden="1"/>
    </xf>
    <xf numFmtId="0" fontId="15" fillId="0" borderId="2" xfId="2" applyFont="1" applyProtection="1">
      <protection hidden="1"/>
    </xf>
    <xf numFmtId="9" fontId="5" fillId="0" borderId="0" xfId="6" applyFont="1" applyFill="1" applyProtection="1">
      <protection hidden="1"/>
    </xf>
    <xf numFmtId="9" fontId="25" fillId="0" borderId="0" xfId="6" applyFont="1" applyFill="1" applyProtection="1">
      <protection hidden="1"/>
    </xf>
    <xf numFmtId="0" fontId="26" fillId="0" borderId="2" xfId="7" applyProtection="1">
      <protection hidden="1"/>
    </xf>
    <xf numFmtId="0" fontId="5" fillId="9" borderId="19" xfId="7" applyFont="1" applyFill="1" applyBorder="1" applyProtection="1">
      <protection hidden="1"/>
    </xf>
    <xf numFmtId="0" fontId="21" fillId="0" borderId="2" xfId="7" applyFont="1" applyAlignment="1" applyProtection="1">
      <alignment horizontal="center"/>
      <protection hidden="1"/>
    </xf>
    <xf numFmtId="0" fontId="0" fillId="0" borderId="0" xfId="0" applyProtection="1">
      <protection hidden="1"/>
      <extLst>
        <ext xmlns:xfpb="http://schemas.microsoft.com/office/spreadsheetml/2022/featurepropertybag" uri="{C7286773-470A-42A8-94C5-96B5CB345126}">
          <xfpb:xfComplement i="0"/>
        </ext>
      </extLst>
    </xf>
    <xf numFmtId="9" fontId="26" fillId="0" borderId="2" xfId="7" applyNumberFormat="1" applyProtection="1">
      <protection hidden="1"/>
    </xf>
    <xf numFmtId="9" fontId="0" fillId="0" borderId="2" xfId="8" applyFont="1" applyProtection="1">
      <protection hidden="1"/>
    </xf>
    <xf numFmtId="9" fontId="0" fillId="0" borderId="2" xfId="8" applyFont="1" applyProtection="1">
      <protection hidden="1"/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2" xfId="8" applyNumberFormat="1" applyFont="1" applyProtection="1">
      <protection hidden="1"/>
    </xf>
    <xf numFmtId="0" fontId="27" fillId="6" borderId="0" xfId="0" applyFont="1" applyFill="1" applyAlignment="1" applyProtection="1">
      <alignment horizontal="left"/>
      <protection hidden="1"/>
    </xf>
    <xf numFmtId="0" fontId="2" fillId="0" borderId="0" xfId="0" applyFont="1"/>
    <xf numFmtId="0" fontId="1" fillId="0" borderId="0" xfId="0" applyFont="1"/>
    <xf numFmtId="0" fontId="1" fillId="6" borderId="0" xfId="0" applyFont="1" applyFill="1" applyProtection="1">
      <protection hidden="1"/>
    </xf>
    <xf numFmtId="0" fontId="5" fillId="2" borderId="2" xfId="2" applyFont="1" applyFill="1" applyAlignment="1" applyProtection="1">
      <alignment horizontal="left" vertical="top" wrapText="1"/>
      <protection hidden="1"/>
    </xf>
    <xf numFmtId="0" fontId="14" fillId="2" borderId="2" xfId="2" applyFont="1" applyFill="1" applyAlignment="1" applyProtection="1">
      <alignment horizontal="center" vertical="center"/>
      <protection hidden="1"/>
    </xf>
    <xf numFmtId="0" fontId="16" fillId="2" borderId="2" xfId="2" applyFont="1" applyFill="1" applyAlignment="1" applyProtection="1">
      <alignment horizontal="left" vertical="top" wrapText="1"/>
      <protection hidden="1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6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6" xfId="0" applyFont="1" applyFill="1" applyBorder="1" applyAlignment="1" applyProtection="1">
      <alignment horizontal="left"/>
      <protection hidden="1"/>
    </xf>
    <xf numFmtId="0" fontId="5" fillId="2" borderId="4" xfId="0" applyFont="1" applyFill="1" applyBorder="1" applyAlignment="1" applyProtection="1">
      <alignment horizontal="left"/>
      <protection hidden="1"/>
    </xf>
    <xf numFmtId="0" fontId="5" fillId="6" borderId="17" xfId="0" applyFont="1" applyFill="1" applyBorder="1" applyAlignment="1" applyProtection="1">
      <alignment horizontal="left" wrapText="1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2" borderId="3" xfId="0" applyFont="1" applyFill="1" applyBorder="1" applyAlignment="1" applyProtection="1">
      <alignment horizontal="left"/>
      <protection hidden="1"/>
    </xf>
    <xf numFmtId="9" fontId="5" fillId="2" borderId="3" xfId="6" applyFont="1" applyFill="1" applyBorder="1" applyAlignment="1" applyProtection="1">
      <alignment horizontal="center"/>
      <protection locked="0"/>
    </xf>
    <xf numFmtId="0" fontId="9" fillId="2" borderId="3" xfId="4" applyFont="1" applyFill="1" applyBorder="1" applyAlignment="1" applyProtection="1">
      <alignment horizontal="left" vertical="top"/>
      <protection locked="0"/>
    </xf>
    <xf numFmtId="0" fontId="9" fillId="6" borderId="2" xfId="4" applyFont="1" applyFill="1" applyAlignment="1" applyProtection="1">
      <alignment horizontal="right" vertical="center" wrapText="1"/>
      <protection hidden="1"/>
    </xf>
    <xf numFmtId="0" fontId="9" fillId="6" borderId="2" xfId="4" applyFont="1" applyFill="1" applyAlignment="1" applyProtection="1">
      <alignment horizontal="right" vertical="center"/>
      <protection hidden="1"/>
    </xf>
    <xf numFmtId="0" fontId="9" fillId="2" borderId="3" xfId="4" applyFont="1" applyFill="1" applyBorder="1" applyAlignment="1" applyProtection="1">
      <alignment horizontal="center" vertical="top"/>
      <protection locked="0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11" fillId="6" borderId="2" xfId="0" applyFont="1" applyFill="1" applyBorder="1" applyAlignment="1" applyProtection="1">
      <alignment horizontal="center" vertical="center"/>
      <protection hidden="1"/>
    </xf>
    <xf numFmtId="0" fontId="9" fillId="2" borderId="3" xfId="4" applyFont="1" applyFill="1" applyBorder="1" applyAlignment="1" applyProtection="1">
      <alignment horizontal="left" vertical="center"/>
      <protection hidden="1"/>
    </xf>
    <xf numFmtId="0" fontId="9" fillId="2" borderId="3" xfId="4" applyFont="1" applyFill="1" applyBorder="1" applyAlignment="1" applyProtection="1">
      <alignment horizontal="left" vertical="center"/>
      <protection locked="0"/>
    </xf>
    <xf numFmtId="0" fontId="9" fillId="6" borderId="2" xfId="0" applyFont="1" applyFill="1" applyBorder="1" applyAlignment="1" applyProtection="1">
      <alignment horizontal="right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/>
      <protection hidden="1"/>
    </xf>
    <xf numFmtId="9" fontId="5" fillId="2" borderId="8" xfId="0" applyNumberFormat="1" applyFont="1" applyFill="1" applyBorder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/>
      <protection hidden="1"/>
    </xf>
    <xf numFmtId="0" fontId="23" fillId="0" borderId="2" xfId="0" applyFont="1" applyBorder="1" applyAlignment="1" applyProtection="1">
      <alignment horizontal="center" vertical="center"/>
      <protection hidden="1"/>
    </xf>
    <xf numFmtId="0" fontId="9" fillId="2" borderId="8" xfId="4" applyFont="1" applyFill="1" applyBorder="1" applyAlignment="1" applyProtection="1">
      <alignment horizontal="center" vertical="top"/>
      <protection locked="0"/>
    </xf>
    <xf numFmtId="0" fontId="9" fillId="2" borderId="6" xfId="4" applyFont="1" applyFill="1" applyBorder="1" applyAlignment="1" applyProtection="1">
      <alignment horizontal="center" vertical="top"/>
      <protection locked="0"/>
    </xf>
    <xf numFmtId="0" fontId="9" fillId="2" borderId="4" xfId="4" applyFont="1" applyFill="1" applyBorder="1" applyAlignment="1" applyProtection="1">
      <alignment horizontal="center" vertical="top"/>
      <protection locked="0"/>
    </xf>
    <xf numFmtId="0" fontId="5" fillId="0" borderId="0" xfId="0" applyFont="1" applyAlignment="1" applyProtection="1">
      <alignment wrapText="1"/>
      <protection hidden="1"/>
    </xf>
    <xf numFmtId="0" fontId="9" fillId="6" borderId="21" xfId="4" applyFont="1" applyFill="1" applyBorder="1" applyAlignment="1" applyProtection="1">
      <alignment horizontal="right" vertical="center" wrapText="1"/>
      <protection hidden="1"/>
    </xf>
    <xf numFmtId="0" fontId="9" fillId="6" borderId="21" xfId="4" applyFont="1" applyFill="1" applyBorder="1" applyAlignment="1" applyProtection="1">
      <alignment horizontal="right" vertical="center"/>
      <protection hidden="1"/>
    </xf>
    <xf numFmtId="0" fontId="9" fillId="6" borderId="20" xfId="4" applyFont="1" applyFill="1" applyBorder="1" applyAlignment="1" applyProtection="1">
      <alignment horizontal="right" vertical="center" wrapText="1"/>
      <protection hidden="1"/>
    </xf>
    <xf numFmtId="0" fontId="9" fillId="2" borderId="2" xfId="4" applyFont="1" applyFill="1" applyAlignment="1" applyProtection="1">
      <alignment horizontal="center" vertical="top"/>
      <protection hidden="1"/>
    </xf>
    <xf numFmtId="0" fontId="7" fillId="8" borderId="3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hidden="1"/>
    </xf>
    <xf numFmtId="0" fontId="5" fillId="2" borderId="3" xfId="5" applyFont="1" applyFill="1" applyBorder="1" applyAlignment="1" applyProtection="1">
      <alignment horizontal="left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3" xfId="0" applyFont="1" applyFill="1" applyBorder="1" applyAlignment="1" applyProtection="1">
      <alignment horizontal="left" vertical="center" wrapText="1"/>
      <protection hidden="1"/>
    </xf>
    <xf numFmtId="9" fontId="5" fillId="2" borderId="3" xfId="6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hidden="1"/>
    </xf>
    <xf numFmtId="0" fontId="5" fillId="6" borderId="17" xfId="0" applyFont="1" applyFill="1" applyBorder="1" applyAlignment="1" applyProtection="1">
      <alignment horizontal="left" vertical="center" wrapText="1"/>
      <protection hidden="1"/>
    </xf>
    <xf numFmtId="0" fontId="5" fillId="6" borderId="2" xfId="0" applyFont="1" applyFill="1" applyBorder="1" applyAlignment="1" applyProtection="1">
      <alignment horizontal="left" vertical="center" wrapText="1"/>
      <protection hidden="1"/>
    </xf>
  </cellXfs>
  <cellStyles count="9">
    <cellStyle name="Normal" xfId="0" builtinId="0"/>
    <cellStyle name="Normal 2" xfId="5" xr:uid="{1EA4FD7D-248E-024A-8874-20097E66DB0A}"/>
    <cellStyle name="Normal 3" xfId="4" xr:uid="{553C799F-C8C4-6545-8B7D-BAD7C8FBC542}"/>
    <cellStyle name="Normal 4" xfId="7" xr:uid="{F8262956-CC3D-414A-A751-973C5CED8D83}"/>
    <cellStyle name="Normale 2" xfId="1" xr:uid="{6E533CD1-82F2-1046-B24F-2016E0DF9E67}"/>
    <cellStyle name="Normale 3" xfId="2" xr:uid="{083959AF-0A8C-A54B-AC57-A744AA52BFA7}"/>
    <cellStyle name="Normale 4" xfId="3" xr:uid="{58821E7F-CDD6-1D42-B89D-6B3E93480110}"/>
    <cellStyle name="Per cent" xfId="6" builtinId="5"/>
    <cellStyle name="Per cent 2" xfId="8" xr:uid="{EECBE877-D750-496C-B17F-BE37DF15679D}"/>
  </cellStyles>
  <dxfs count="186"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9" tint="0.59996337778862885"/>
      </font>
      <fill>
        <patternFill>
          <bgColor theme="9" tint="-0.24994659260841701"/>
        </patternFill>
      </fill>
    </dxf>
    <dxf>
      <font>
        <color theme="7" tint="0.59996337778862885"/>
      </font>
      <fill>
        <patternFill>
          <bgColor theme="7" tint="-0.24994659260841701"/>
        </patternFill>
      </fill>
    </dxf>
    <dxf>
      <font>
        <color theme="5" tint="0.7999816888943144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1C54"/>
      <color rgb="FFB19639"/>
      <color rgb="FF3D60F7"/>
      <color rgb="FFC1CCDA"/>
      <color rgb="FFE1E5F9"/>
      <color rgb="FF4EC2CA"/>
      <color rgb="FFBCC6F7"/>
      <color rgb="FFA7B5F7"/>
      <color rgb="FFB195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0F4F-1B29-D645-A94F-42F4D32980A2}">
  <dimension ref="B1:K27"/>
  <sheetViews>
    <sheetView workbookViewId="0"/>
  </sheetViews>
  <sheetFormatPr baseColWidth="10" defaultColWidth="8.5" defaultRowHeight="15"/>
  <cols>
    <col min="1" max="1" width="2.5" style="5" customWidth="1"/>
    <col min="2" max="2" width="3.6640625" style="5" customWidth="1"/>
    <col min="3" max="6" width="21" style="5" customWidth="1"/>
    <col min="7" max="7" width="3.6640625" style="5" customWidth="1"/>
    <col min="8" max="10" width="8.5" style="5"/>
    <col min="11" max="11" width="33.5" style="5" customWidth="1"/>
    <col min="12" max="16384" width="8.5" style="5"/>
  </cols>
  <sheetData>
    <row r="1" spans="2:11" ht="16" thickBot="1"/>
    <row r="2" spans="2:11" ht="15" customHeight="1">
      <c r="B2" s="11"/>
      <c r="C2" s="12"/>
      <c r="D2" s="12"/>
      <c r="E2" s="12"/>
      <c r="F2" s="12"/>
      <c r="G2" s="13"/>
    </row>
    <row r="3" spans="2:11" ht="35" customHeight="1">
      <c r="B3" s="14"/>
      <c r="C3" s="5" t="e" vm="1">
        <v>#VALUE!</v>
      </c>
      <c r="G3" s="15"/>
    </row>
    <row r="4" spans="2:11" ht="15" customHeight="1">
      <c r="B4" s="14"/>
      <c r="G4" s="15"/>
    </row>
    <row r="5" spans="2:11" ht="21">
      <c r="B5" s="14"/>
      <c r="C5" s="67" t="s">
        <v>5</v>
      </c>
      <c r="D5" s="67"/>
      <c r="E5" s="67"/>
      <c r="F5" s="67"/>
      <c r="G5" s="15"/>
      <c r="K5" s="51"/>
    </row>
    <row r="6" spans="2:11" ht="21">
      <c r="B6" s="14"/>
      <c r="C6" s="16"/>
      <c r="D6" s="16"/>
      <c r="E6" s="16"/>
      <c r="F6" s="16"/>
      <c r="G6" s="15"/>
    </row>
    <row r="7" spans="2:11" ht="21">
      <c r="B7" s="14"/>
      <c r="C7" s="16" t="s">
        <v>8</v>
      </c>
      <c r="D7" s="17"/>
      <c r="E7" s="17"/>
      <c r="F7" s="18"/>
      <c r="G7" s="15"/>
    </row>
    <row r="8" spans="2:11" ht="21">
      <c r="B8" s="14"/>
      <c r="C8" s="16"/>
      <c r="D8" s="16"/>
      <c r="E8" s="16"/>
      <c r="F8" s="16"/>
      <c r="G8" s="15"/>
    </row>
    <row r="9" spans="2:11" ht="15" customHeight="1">
      <c r="B9" s="14"/>
      <c r="G9" s="15"/>
    </row>
    <row r="10" spans="2:11">
      <c r="B10" s="14"/>
      <c r="C10" s="66" t="s">
        <v>430</v>
      </c>
      <c r="D10" s="68"/>
      <c r="E10" s="68"/>
      <c r="F10" s="68"/>
      <c r="G10" s="15"/>
    </row>
    <row r="11" spans="2:11" ht="15" customHeight="1">
      <c r="B11" s="14"/>
      <c r="C11" s="66" t="s">
        <v>431</v>
      </c>
      <c r="D11" s="66"/>
      <c r="E11" s="66"/>
      <c r="F11" s="66"/>
      <c r="G11" s="15"/>
    </row>
    <row r="12" spans="2:11">
      <c r="B12" s="14"/>
      <c r="C12" s="66" t="s">
        <v>432</v>
      </c>
      <c r="D12" s="66"/>
      <c r="E12" s="66"/>
      <c r="F12" s="66"/>
      <c r="G12" s="15"/>
    </row>
    <row r="13" spans="2:11" s="6" customFormat="1" ht="15" customHeight="1">
      <c r="B13" s="20"/>
      <c r="G13" s="21"/>
    </row>
    <row r="14" spans="2:11">
      <c r="B14" s="14"/>
      <c r="C14" s="66" t="s">
        <v>433</v>
      </c>
      <c r="D14" s="66"/>
      <c r="E14" s="66"/>
      <c r="F14" s="66"/>
      <c r="G14" s="15"/>
    </row>
    <row r="15" spans="2:11">
      <c r="B15" s="14"/>
      <c r="C15" s="66" t="s">
        <v>523</v>
      </c>
      <c r="D15" s="66"/>
      <c r="E15" s="66"/>
      <c r="F15" s="66"/>
      <c r="G15" s="15"/>
    </row>
    <row r="16" spans="2:11">
      <c r="B16" s="14"/>
      <c r="C16" s="66" t="s">
        <v>522</v>
      </c>
      <c r="D16" s="66"/>
      <c r="E16" s="66"/>
      <c r="F16" s="66"/>
      <c r="G16" s="15"/>
    </row>
    <row r="17" spans="2:7">
      <c r="B17" s="14"/>
      <c r="C17" s="66" t="s">
        <v>434</v>
      </c>
      <c r="D17" s="66"/>
      <c r="E17" s="66"/>
      <c r="F17" s="19"/>
      <c r="G17" s="15"/>
    </row>
    <row r="18" spans="2:7">
      <c r="B18" s="14"/>
      <c r="C18" s="66" t="s">
        <v>435</v>
      </c>
      <c r="D18" s="66"/>
      <c r="E18" s="66"/>
      <c r="F18" s="66"/>
      <c r="G18" s="15"/>
    </row>
    <row r="19" spans="2:7" ht="7.5" customHeight="1">
      <c r="B19" s="14"/>
      <c r="C19" s="22"/>
      <c r="D19" s="22"/>
      <c r="E19" s="22"/>
      <c r="F19" s="22"/>
      <c r="G19" s="15"/>
    </row>
    <row r="20" spans="2:7" ht="38" customHeight="1">
      <c r="B20" s="14"/>
      <c r="C20" s="22" t="e" vm="2">
        <v>#VALUE!</v>
      </c>
      <c r="D20" s="22"/>
      <c r="E20" s="23" t="s">
        <v>9</v>
      </c>
      <c r="F20" s="27">
        <f ca="1">TODAY()</f>
        <v>46000</v>
      </c>
      <c r="G20" s="15"/>
    </row>
    <row r="21" spans="2:7" ht="16" thickBot="1">
      <c r="B21" s="24"/>
      <c r="C21" s="25"/>
      <c r="D21" s="25"/>
      <c r="E21" s="25"/>
      <c r="F21" s="25"/>
      <c r="G21" s="26"/>
    </row>
    <row r="22" spans="2:7" ht="15" customHeight="1"/>
    <row r="23" spans="2:7" ht="15" customHeight="1"/>
    <row r="24" spans="2:7" ht="15" customHeight="1"/>
    <row r="25" spans="2:7" ht="15" customHeight="1"/>
    <row r="26" spans="2:7" ht="15" customHeight="1"/>
    <row r="27" spans="2:7" ht="15" customHeight="1"/>
  </sheetData>
  <sheetProtection algorithmName="SHA-512" hashValue="E2MJ0JfOdPee6T7p9x4qz1FQMV3CS2atMxvtWk7p5zrH0EAKtGk8q/CsNjt+ipJ3Diuy2ua2b0xWk3g1pdkjBw==" saltValue="JzqFSVYo5xNxrJ2n8Q+Lhw==" spinCount="100000" sheet="1" objects="1" scenarios="1"/>
  <mergeCells count="9">
    <mergeCell ref="C17:E17"/>
    <mergeCell ref="C18:F18"/>
    <mergeCell ref="C12:F12"/>
    <mergeCell ref="C14:F14"/>
    <mergeCell ref="C5:F5"/>
    <mergeCell ref="C10:F10"/>
    <mergeCell ref="C11:F11"/>
    <mergeCell ref="C15:F15"/>
    <mergeCell ref="C16:F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39F8E1-2AFB-410F-86EA-50BBB50C48E7}">
          <x14:formula1>
            <xm:f>Settings!$A$1:$A$4</xm:f>
          </x14:formula1>
          <xm:sqref>C16:F16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X126"/>
  <sheetViews>
    <sheetView showGridLines="0" tabSelected="1" topLeftCell="A61" zoomScale="90" zoomScaleNormal="90" workbookViewId="0">
      <selection activeCell="T57" sqref="T57"/>
    </sheetView>
  </sheetViews>
  <sheetFormatPr baseColWidth="10" defaultColWidth="14.5" defaultRowHeight="14" customHeight="1"/>
  <cols>
    <col min="1" max="38" width="2.83203125" style="1" customWidth="1"/>
    <col min="39" max="39" width="3.6640625" style="1" customWidth="1"/>
    <col min="40" max="75" width="2.6640625" style="1" customWidth="1"/>
    <col min="76" max="76" width="2.6640625" style="52" customWidth="1"/>
    <col min="77" max="86" width="2.6640625" style="1" customWidth="1"/>
    <col min="87" max="137" width="3.1640625" style="1" customWidth="1"/>
    <col min="138" max="154" width="2.83203125" style="1" customWidth="1"/>
    <col min="155" max="16384" width="14.5" style="1"/>
  </cols>
  <sheetData>
    <row r="2" spans="2:76" ht="40" customHeight="1">
      <c r="B2" s="75" t="e" vm="3">
        <v>#VALUE!</v>
      </c>
      <c r="C2" s="75"/>
      <c r="D2" s="75"/>
      <c r="E2" s="75"/>
      <c r="F2" s="75"/>
    </row>
    <row r="3" spans="2:76" ht="5" customHeight="1"/>
    <row r="4" spans="2:76" ht="14" customHeight="1">
      <c r="F4" s="35"/>
      <c r="G4" s="2"/>
      <c r="M4" s="95" t="s">
        <v>5</v>
      </c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</row>
    <row r="5" spans="2:76" ht="5" customHeight="1">
      <c r="C5" s="83"/>
      <c r="D5" s="84"/>
      <c r="E5" s="84"/>
      <c r="F5" s="84"/>
      <c r="G5" s="84"/>
    </row>
    <row r="6" spans="2:76" ht="14" customHeight="1">
      <c r="B6" s="36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BV6" s="52"/>
      <c r="BX6" s="1"/>
    </row>
    <row r="7" spans="2:76" ht="5" customHeight="1">
      <c r="BV7" s="52"/>
      <c r="BX7" s="1"/>
    </row>
    <row r="8" spans="2:76" ht="13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BV8" s="52"/>
      <c r="BX8" s="1"/>
    </row>
    <row r="9" spans="2:76" ht="12" customHeight="1">
      <c r="B9" s="42"/>
      <c r="C9" s="79" t="s">
        <v>169</v>
      </c>
      <c r="D9" s="79"/>
      <c r="E9" s="79"/>
      <c r="F9" s="79"/>
      <c r="G9" s="79"/>
      <c r="H9" s="79"/>
      <c r="I9" s="78"/>
      <c r="J9" s="78"/>
      <c r="K9" s="78"/>
      <c r="L9" s="78"/>
      <c r="M9" s="78"/>
      <c r="N9" s="78"/>
      <c r="O9" s="80" t="s">
        <v>1</v>
      </c>
      <c r="P9" s="80"/>
      <c r="Q9" s="80"/>
      <c r="R9" s="80"/>
      <c r="S9" s="80"/>
      <c r="T9" s="80"/>
      <c r="U9" s="78"/>
      <c r="V9" s="78"/>
      <c r="W9" s="78"/>
      <c r="X9" s="78"/>
      <c r="Y9" s="78"/>
      <c r="Z9" s="78"/>
      <c r="AA9" s="79" t="s">
        <v>170</v>
      </c>
      <c r="AB9" s="79"/>
      <c r="AC9" s="79"/>
      <c r="AD9" s="79"/>
      <c r="AE9" s="79"/>
      <c r="AF9" s="79"/>
      <c r="AG9" s="78"/>
      <c r="AH9" s="78"/>
      <c r="AI9" s="78"/>
      <c r="AJ9" s="78"/>
      <c r="AK9" s="78"/>
      <c r="AL9" s="78"/>
      <c r="AM9" s="42"/>
      <c r="BV9" s="52"/>
      <c r="BX9" s="1"/>
    </row>
    <row r="10" spans="2:76" ht="12" customHeight="1">
      <c r="B10" s="42"/>
      <c r="C10" s="79"/>
      <c r="D10" s="79"/>
      <c r="E10" s="79"/>
      <c r="F10" s="79"/>
      <c r="G10" s="79"/>
      <c r="H10" s="79"/>
      <c r="I10" s="78"/>
      <c r="J10" s="78"/>
      <c r="K10" s="78"/>
      <c r="L10" s="78"/>
      <c r="M10" s="78"/>
      <c r="N10" s="78"/>
      <c r="O10" s="80"/>
      <c r="P10" s="80"/>
      <c r="Q10" s="80"/>
      <c r="R10" s="80"/>
      <c r="S10" s="80"/>
      <c r="T10" s="80"/>
      <c r="U10" s="78"/>
      <c r="V10" s="78"/>
      <c r="W10" s="78"/>
      <c r="X10" s="78"/>
      <c r="Y10" s="78"/>
      <c r="Z10" s="78"/>
      <c r="AA10" s="79"/>
      <c r="AB10" s="79"/>
      <c r="AC10" s="79"/>
      <c r="AD10" s="79"/>
      <c r="AE10" s="79"/>
      <c r="AF10" s="79"/>
      <c r="AG10" s="78"/>
      <c r="AH10" s="78"/>
      <c r="AI10" s="78"/>
      <c r="AJ10" s="78"/>
      <c r="AK10" s="78"/>
      <c r="AL10" s="78"/>
      <c r="AM10" s="42"/>
      <c r="BV10" s="52"/>
      <c r="BX10" s="1"/>
    </row>
    <row r="11" spans="2:76" ht="5" customHeight="1">
      <c r="B11" s="42"/>
      <c r="C11" s="43"/>
      <c r="D11" s="43"/>
      <c r="E11" s="43"/>
      <c r="F11" s="43"/>
      <c r="G11" s="43"/>
      <c r="H11" s="43"/>
      <c r="I11" s="42"/>
      <c r="J11" s="42"/>
      <c r="K11" s="42"/>
      <c r="L11" s="42"/>
      <c r="M11" s="42"/>
      <c r="N11" s="42"/>
      <c r="O11" s="43"/>
      <c r="P11" s="43"/>
      <c r="Q11" s="43"/>
      <c r="R11" s="43"/>
      <c r="S11" s="43"/>
      <c r="T11" s="43"/>
      <c r="U11" s="42"/>
      <c r="V11" s="42"/>
      <c r="W11" s="42"/>
      <c r="X11" s="42"/>
      <c r="Y11" s="42"/>
      <c r="Z11" s="42"/>
      <c r="AA11" s="43"/>
      <c r="AB11" s="43"/>
      <c r="AC11" s="43"/>
      <c r="AD11" s="43"/>
      <c r="AE11" s="43"/>
      <c r="AF11" s="43"/>
      <c r="AG11" s="42"/>
      <c r="AH11" s="42"/>
      <c r="AI11" s="42"/>
      <c r="AJ11" s="42"/>
      <c r="AK11" s="42"/>
      <c r="AL11" s="42"/>
      <c r="AM11" s="42"/>
      <c r="BV11" s="52"/>
      <c r="BX11" s="1"/>
    </row>
    <row r="12" spans="2:76" ht="12" customHeight="1">
      <c r="B12" s="42"/>
      <c r="C12" s="80" t="s">
        <v>10</v>
      </c>
      <c r="D12" s="80"/>
      <c r="E12" s="80"/>
      <c r="F12" s="80"/>
      <c r="G12" s="80"/>
      <c r="H12" s="80"/>
      <c r="I12" s="78"/>
      <c r="J12" s="78"/>
      <c r="K12" s="78"/>
      <c r="L12" s="78"/>
      <c r="M12" s="78"/>
      <c r="N12" s="78"/>
      <c r="O12" s="79" t="s">
        <v>2</v>
      </c>
      <c r="P12" s="79"/>
      <c r="Q12" s="79"/>
      <c r="R12" s="79"/>
      <c r="S12" s="79"/>
      <c r="T12" s="79"/>
      <c r="U12" s="78"/>
      <c r="V12" s="78"/>
      <c r="W12" s="78"/>
      <c r="X12" s="78"/>
      <c r="Y12" s="78"/>
      <c r="Z12" s="78"/>
      <c r="AA12" s="80" t="s">
        <v>556</v>
      </c>
      <c r="AB12" s="80"/>
      <c r="AC12" s="80"/>
      <c r="AD12" s="80"/>
      <c r="AE12" s="80"/>
      <c r="AF12" s="80"/>
      <c r="AG12" s="78"/>
      <c r="AH12" s="78"/>
      <c r="AI12" s="78"/>
      <c r="AJ12" s="78"/>
      <c r="AK12" s="78"/>
      <c r="AL12" s="78"/>
      <c r="AM12" s="42"/>
      <c r="BV12" s="52"/>
      <c r="BX12" s="1"/>
    </row>
    <row r="13" spans="2:76" ht="12" customHeight="1">
      <c r="B13" s="42"/>
      <c r="C13" s="80"/>
      <c r="D13" s="80"/>
      <c r="E13" s="80"/>
      <c r="F13" s="80"/>
      <c r="G13" s="80"/>
      <c r="H13" s="80"/>
      <c r="I13" s="78"/>
      <c r="J13" s="78"/>
      <c r="K13" s="78"/>
      <c r="L13" s="78"/>
      <c r="M13" s="78"/>
      <c r="N13" s="78"/>
      <c r="O13" s="79"/>
      <c r="P13" s="79"/>
      <c r="Q13" s="79"/>
      <c r="R13" s="79"/>
      <c r="S13" s="79"/>
      <c r="T13" s="79"/>
      <c r="U13" s="78"/>
      <c r="V13" s="78"/>
      <c r="W13" s="78"/>
      <c r="X13" s="78"/>
      <c r="Y13" s="78"/>
      <c r="Z13" s="78"/>
      <c r="AA13" s="80"/>
      <c r="AB13" s="80"/>
      <c r="AC13" s="80"/>
      <c r="AD13" s="80"/>
      <c r="AE13" s="80"/>
      <c r="AF13" s="80"/>
      <c r="AG13" s="78"/>
      <c r="AH13" s="78"/>
      <c r="AI13" s="78"/>
      <c r="AJ13" s="78"/>
      <c r="AK13" s="78"/>
      <c r="AL13" s="78"/>
      <c r="AM13" s="42"/>
      <c r="BV13" s="52"/>
      <c r="BX13" s="1"/>
    </row>
    <row r="14" spans="2:76" ht="12" customHeight="1"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BV14" s="52"/>
      <c r="BX14" s="1"/>
    </row>
    <row r="15" spans="2:76" ht="14" customHeight="1">
      <c r="BV15" s="52"/>
      <c r="BX15" s="1"/>
    </row>
    <row r="16" spans="2:76" ht="14" customHeight="1">
      <c r="B16" s="36" t="s">
        <v>559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BV16" s="52"/>
      <c r="BX16" s="1"/>
    </row>
    <row r="17" spans="2:76" ht="5" customHeight="1">
      <c r="BV17" s="52"/>
      <c r="BX17" s="1"/>
    </row>
    <row r="18" spans="2:76" ht="12" customHeight="1"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BV18" s="52"/>
      <c r="BX18" s="1"/>
    </row>
    <row r="19" spans="2:76" ht="12" customHeight="1">
      <c r="B19" s="42"/>
      <c r="C19" s="79" t="s">
        <v>422</v>
      </c>
      <c r="D19" s="79"/>
      <c r="E19" s="79"/>
      <c r="F19" s="79"/>
      <c r="G19" s="79"/>
      <c r="H19" s="79"/>
      <c r="I19" s="87"/>
      <c r="J19" s="87"/>
      <c r="K19" s="87"/>
      <c r="L19" s="87"/>
      <c r="M19" s="87"/>
      <c r="N19" s="87"/>
      <c r="O19" s="79" t="s">
        <v>560</v>
      </c>
      <c r="P19" s="79"/>
      <c r="Q19" s="79"/>
      <c r="R19" s="79"/>
      <c r="S19" s="79"/>
      <c r="T19" s="79"/>
      <c r="U19" s="78"/>
      <c r="V19" s="78"/>
      <c r="W19" s="78"/>
      <c r="X19" s="78"/>
      <c r="Y19" s="78"/>
      <c r="Z19" s="78"/>
      <c r="AA19" s="79" t="s">
        <v>176</v>
      </c>
      <c r="AB19" s="79"/>
      <c r="AC19" s="79"/>
      <c r="AD19" s="79"/>
      <c r="AE19" s="79"/>
      <c r="AF19" s="79"/>
      <c r="AG19" s="78"/>
      <c r="AH19" s="78"/>
      <c r="AI19" s="78"/>
      <c r="AJ19" s="78"/>
      <c r="AK19" s="78"/>
      <c r="AL19" s="78"/>
      <c r="AM19" s="42"/>
      <c r="BV19" s="52"/>
      <c r="BX19" s="1"/>
    </row>
    <row r="20" spans="2:76" ht="12" customHeight="1">
      <c r="B20" s="42"/>
      <c r="C20" s="79"/>
      <c r="D20" s="79"/>
      <c r="E20" s="79"/>
      <c r="F20" s="79"/>
      <c r="G20" s="79"/>
      <c r="H20" s="79"/>
      <c r="I20" s="87"/>
      <c r="J20" s="87"/>
      <c r="K20" s="87"/>
      <c r="L20" s="87"/>
      <c r="M20" s="87"/>
      <c r="N20" s="87"/>
      <c r="O20" s="79"/>
      <c r="P20" s="79"/>
      <c r="Q20" s="79"/>
      <c r="R20" s="79"/>
      <c r="S20" s="79"/>
      <c r="T20" s="79"/>
      <c r="U20" s="78"/>
      <c r="V20" s="78"/>
      <c r="W20" s="78"/>
      <c r="X20" s="78"/>
      <c r="Y20" s="78"/>
      <c r="Z20" s="78"/>
      <c r="AA20" s="79"/>
      <c r="AB20" s="79"/>
      <c r="AC20" s="79"/>
      <c r="AD20" s="79"/>
      <c r="AE20" s="79"/>
      <c r="AF20" s="79"/>
      <c r="AG20" s="78"/>
      <c r="AH20" s="78"/>
      <c r="AI20" s="78"/>
      <c r="AJ20" s="78"/>
      <c r="AK20" s="78"/>
      <c r="AL20" s="78"/>
      <c r="AM20" s="42"/>
      <c r="BV20" s="52"/>
      <c r="BX20" s="1"/>
    </row>
    <row r="21" spans="2:76" ht="5" customHeight="1">
      <c r="B21" s="42"/>
      <c r="C21" s="43"/>
      <c r="D21" s="43"/>
      <c r="E21" s="43"/>
      <c r="F21" s="43"/>
      <c r="G21" s="43"/>
      <c r="H21" s="43"/>
      <c r="I21" s="42"/>
      <c r="J21" s="42"/>
      <c r="K21" s="42"/>
      <c r="L21" s="42"/>
      <c r="M21" s="42"/>
      <c r="N21" s="42"/>
      <c r="O21" s="43"/>
      <c r="P21" s="43"/>
      <c r="Q21" s="43"/>
      <c r="R21" s="43"/>
      <c r="S21" s="43"/>
      <c r="T21" s="43"/>
      <c r="U21" s="42"/>
      <c r="V21" s="42"/>
      <c r="W21" s="42"/>
      <c r="X21" s="42"/>
      <c r="Y21" s="42"/>
      <c r="Z21" s="42"/>
      <c r="AA21" s="43"/>
      <c r="AB21" s="43"/>
      <c r="AC21" s="43"/>
      <c r="AD21" s="43"/>
      <c r="AE21" s="43"/>
      <c r="AF21" s="43"/>
      <c r="AG21" s="42"/>
      <c r="AH21" s="42"/>
      <c r="AI21" s="42"/>
      <c r="AJ21" s="42"/>
      <c r="AK21" s="42"/>
      <c r="AL21" s="42"/>
      <c r="AM21" s="42"/>
      <c r="BV21" s="52"/>
      <c r="BX21" s="1"/>
    </row>
    <row r="22" spans="2:76" ht="12" customHeight="1">
      <c r="B22" s="42"/>
      <c r="C22" s="80" t="s">
        <v>204</v>
      </c>
      <c r="D22" s="80"/>
      <c r="E22" s="80"/>
      <c r="F22" s="80"/>
      <c r="G22" s="80"/>
      <c r="H22" s="80"/>
      <c r="I22" s="78"/>
      <c r="J22" s="78"/>
      <c r="K22" s="78"/>
      <c r="L22" s="78"/>
      <c r="M22" s="78"/>
      <c r="N22" s="78"/>
      <c r="O22" s="79" t="s">
        <v>205</v>
      </c>
      <c r="P22" s="79"/>
      <c r="Q22" s="79"/>
      <c r="R22" s="79"/>
      <c r="S22" s="79"/>
      <c r="T22" s="79"/>
      <c r="U22" s="86" t="s">
        <v>14</v>
      </c>
      <c r="V22" s="86"/>
      <c r="W22" s="86"/>
      <c r="X22" s="86"/>
      <c r="Y22" s="86"/>
      <c r="Z22" s="86"/>
      <c r="AA22" s="79" t="s">
        <v>561</v>
      </c>
      <c r="AB22" s="79"/>
      <c r="AC22" s="79"/>
      <c r="AD22" s="79"/>
      <c r="AE22" s="79"/>
      <c r="AF22" s="79"/>
      <c r="AG22" s="87"/>
      <c r="AH22" s="87"/>
      <c r="AI22" s="87"/>
      <c r="AJ22" s="87"/>
      <c r="AK22" s="87"/>
      <c r="AL22" s="87"/>
      <c r="AM22" s="42"/>
      <c r="BV22" s="52"/>
      <c r="BX22" s="1"/>
    </row>
    <row r="23" spans="2:76" ht="12" customHeight="1">
      <c r="B23" s="42"/>
      <c r="C23" s="80"/>
      <c r="D23" s="80"/>
      <c r="E23" s="80"/>
      <c r="F23" s="80"/>
      <c r="G23" s="80"/>
      <c r="H23" s="80"/>
      <c r="I23" s="78"/>
      <c r="J23" s="78"/>
      <c r="K23" s="78"/>
      <c r="L23" s="78"/>
      <c r="M23" s="78"/>
      <c r="N23" s="78"/>
      <c r="O23" s="79"/>
      <c r="P23" s="79"/>
      <c r="Q23" s="79"/>
      <c r="R23" s="79"/>
      <c r="S23" s="79"/>
      <c r="T23" s="79"/>
      <c r="U23" s="86"/>
      <c r="V23" s="86"/>
      <c r="W23" s="86"/>
      <c r="X23" s="86"/>
      <c r="Y23" s="86"/>
      <c r="Z23" s="86"/>
      <c r="AA23" s="79"/>
      <c r="AB23" s="79"/>
      <c r="AC23" s="79"/>
      <c r="AD23" s="79"/>
      <c r="AE23" s="79"/>
      <c r="AF23" s="79"/>
      <c r="AG23" s="87"/>
      <c r="AH23" s="87"/>
      <c r="AI23" s="87"/>
      <c r="AJ23" s="87"/>
      <c r="AK23" s="87"/>
      <c r="AL23" s="87"/>
      <c r="AM23" s="42"/>
      <c r="BV23" s="52"/>
      <c r="BX23" s="1"/>
    </row>
    <row r="24" spans="2:76" ht="13">
      <c r="B24" s="42"/>
      <c r="C24" s="44"/>
      <c r="D24" s="44"/>
      <c r="E24" s="44"/>
      <c r="F24" s="44"/>
      <c r="G24" s="44"/>
      <c r="H24" s="44"/>
      <c r="I24" s="42"/>
      <c r="J24" s="42"/>
      <c r="K24" s="42"/>
      <c r="L24" s="42"/>
      <c r="M24" s="42"/>
      <c r="N24" s="42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2"/>
      <c r="AA24" s="44"/>
      <c r="AB24" s="44"/>
      <c r="AC24" s="44"/>
      <c r="AD24" s="44"/>
      <c r="AE24" s="44"/>
      <c r="AF24" s="44"/>
      <c r="AG24" s="42"/>
      <c r="AH24" s="42"/>
      <c r="AI24" s="42"/>
      <c r="AJ24" s="42"/>
      <c r="AK24" s="42"/>
      <c r="AL24" s="42"/>
      <c r="AM24" s="42"/>
      <c r="BV24" s="52"/>
      <c r="BX24" s="1"/>
    </row>
    <row r="25" spans="2:76" ht="14" customHeight="1">
      <c r="BV25" s="52"/>
      <c r="BX25" s="1"/>
    </row>
    <row r="26" spans="2:76" ht="14" customHeight="1">
      <c r="B26" s="36" t="s">
        <v>172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BV26" s="52"/>
      <c r="BX26" s="1"/>
    </row>
    <row r="27" spans="2:76" ht="5" customHeight="1">
      <c r="BV27" s="52"/>
      <c r="BX27" s="1"/>
    </row>
    <row r="28" spans="2:76" ht="13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BV28" s="52"/>
      <c r="BX28" s="1"/>
    </row>
    <row r="29" spans="2:76" ht="14" customHeight="1">
      <c r="B29" s="42"/>
      <c r="C29" s="79" t="s">
        <v>562</v>
      </c>
      <c r="D29" s="79"/>
      <c r="E29" s="79"/>
      <c r="F29" s="79"/>
      <c r="G29" s="79"/>
      <c r="H29" s="79"/>
      <c r="I29" s="81"/>
      <c r="J29" s="81"/>
      <c r="K29" s="81"/>
      <c r="L29" s="81"/>
      <c r="M29" s="81"/>
      <c r="N29" s="81"/>
      <c r="O29" s="79" t="s">
        <v>177</v>
      </c>
      <c r="P29" s="79"/>
      <c r="Q29" s="79"/>
      <c r="R29" s="79"/>
      <c r="S29" s="79"/>
      <c r="T29" s="79"/>
      <c r="U29" s="81"/>
      <c r="V29" s="81"/>
      <c r="W29" s="81"/>
      <c r="X29" s="81"/>
      <c r="Y29" s="81"/>
      <c r="Z29" s="81"/>
      <c r="AA29" s="79" t="s">
        <v>178</v>
      </c>
      <c r="AB29" s="79"/>
      <c r="AC29" s="79"/>
      <c r="AD29" s="79"/>
      <c r="AE29" s="79"/>
      <c r="AF29" s="79"/>
      <c r="AG29" s="81"/>
      <c r="AH29" s="81"/>
      <c r="AI29" s="81"/>
      <c r="AJ29" s="81"/>
      <c r="AK29" s="81"/>
      <c r="AL29" s="81"/>
      <c r="AM29" s="42"/>
      <c r="BV29" s="52"/>
      <c r="BX29" s="1"/>
    </row>
    <row r="30" spans="2:76" ht="5" customHeight="1">
      <c r="B30" s="42"/>
      <c r="C30" s="43"/>
      <c r="D30" s="43"/>
      <c r="E30" s="43"/>
      <c r="F30" s="43"/>
      <c r="G30" s="43"/>
      <c r="H30" s="43"/>
      <c r="I30" s="42"/>
      <c r="J30" s="42"/>
      <c r="K30" s="42"/>
      <c r="L30" s="42"/>
      <c r="M30" s="42"/>
      <c r="N30" s="42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2"/>
      <c r="AA30" s="44"/>
      <c r="AB30" s="44"/>
      <c r="AC30" s="44"/>
      <c r="AD30" s="44"/>
      <c r="AE30" s="44"/>
      <c r="AF30" s="44"/>
      <c r="AG30" s="42"/>
      <c r="AH30" s="42"/>
      <c r="AI30" s="42"/>
      <c r="AJ30" s="42"/>
      <c r="AK30" s="42"/>
      <c r="AL30" s="42"/>
      <c r="AM30" s="42"/>
      <c r="BV30" s="52"/>
      <c r="BX30" s="1"/>
    </row>
    <row r="31" spans="2:76" ht="14" customHeight="1">
      <c r="B31" s="42"/>
      <c r="C31" s="79" t="s">
        <v>179</v>
      </c>
      <c r="D31" s="79"/>
      <c r="E31" s="79"/>
      <c r="F31" s="79"/>
      <c r="G31" s="79"/>
      <c r="H31" s="79"/>
      <c r="I31" s="81"/>
      <c r="J31" s="81"/>
      <c r="K31" s="81"/>
      <c r="L31" s="81"/>
      <c r="M31" s="81"/>
      <c r="N31" s="81"/>
      <c r="O31" s="80" t="s">
        <v>180</v>
      </c>
      <c r="P31" s="80"/>
      <c r="Q31" s="80"/>
      <c r="R31" s="80"/>
      <c r="S31" s="80"/>
      <c r="T31" s="80"/>
      <c r="U31" s="96"/>
      <c r="V31" s="97"/>
      <c r="W31" s="97"/>
      <c r="X31" s="97"/>
      <c r="Y31" s="97"/>
      <c r="Z31" s="98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BV31" s="52"/>
      <c r="BX31" s="1"/>
    </row>
    <row r="32" spans="2:76" ht="13">
      <c r="B32" s="42"/>
      <c r="C32" s="44"/>
      <c r="D32" s="44"/>
      <c r="E32" s="44"/>
      <c r="F32" s="44"/>
      <c r="G32" s="44"/>
      <c r="H32" s="44"/>
      <c r="I32" s="42"/>
      <c r="J32" s="42"/>
      <c r="K32" s="42"/>
      <c r="L32" s="42"/>
      <c r="M32" s="42"/>
      <c r="N32" s="42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2"/>
      <c r="AA32" s="44"/>
      <c r="AB32" s="44"/>
      <c r="AC32" s="44"/>
      <c r="AD32" s="44"/>
      <c r="AE32" s="44"/>
      <c r="AF32" s="44"/>
      <c r="AG32" s="42"/>
      <c r="AH32" s="42"/>
      <c r="AI32" s="42"/>
      <c r="AJ32" s="42"/>
      <c r="AK32" s="42"/>
      <c r="AL32" s="42"/>
      <c r="AM32" s="42"/>
      <c r="BV32" s="52"/>
      <c r="BX32" s="1"/>
    </row>
    <row r="33" spans="2:76" ht="14" customHeight="1">
      <c r="BV33" s="52"/>
      <c r="BX33" s="1"/>
    </row>
    <row r="34" spans="2:76" ht="14" customHeight="1">
      <c r="B34" s="36" t="s">
        <v>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BV34" s="52"/>
      <c r="BX34" s="1"/>
    </row>
    <row r="35" spans="2:76" ht="5" customHeight="1">
      <c r="BV35" s="52"/>
      <c r="BX35" s="1"/>
    </row>
    <row r="36" spans="2:76" ht="13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BV36" s="52"/>
      <c r="BX36" s="1"/>
    </row>
    <row r="37" spans="2:76" ht="14" customHeight="1">
      <c r="B37" s="28"/>
      <c r="C37" s="31"/>
      <c r="D37" s="31"/>
      <c r="E37" s="85"/>
      <c r="F37" s="85"/>
      <c r="G37" s="32"/>
      <c r="H37" s="28"/>
      <c r="I37" s="82" t="s">
        <v>175</v>
      </c>
      <c r="J37" s="82"/>
      <c r="K37" s="82"/>
      <c r="L37" s="82"/>
      <c r="M37" s="82"/>
      <c r="N37" s="82"/>
      <c r="O37" s="82" t="s">
        <v>563</v>
      </c>
      <c r="P37" s="82"/>
      <c r="Q37" s="82"/>
      <c r="R37" s="82"/>
      <c r="S37" s="82"/>
      <c r="T37" s="82"/>
      <c r="U37" s="82" t="s">
        <v>564</v>
      </c>
      <c r="V37" s="82"/>
      <c r="W37" s="82"/>
      <c r="X37" s="82"/>
      <c r="Y37" s="82"/>
      <c r="Z37" s="82"/>
      <c r="AA37" s="82" t="s">
        <v>565</v>
      </c>
      <c r="AB37" s="82"/>
      <c r="AC37" s="82"/>
      <c r="AD37" s="82"/>
      <c r="AE37" s="82"/>
      <c r="AF37" s="82"/>
      <c r="AG37" s="82" t="s">
        <v>566</v>
      </c>
      <c r="AH37" s="82"/>
      <c r="AI37" s="82"/>
      <c r="AJ37" s="82"/>
      <c r="AK37" s="82"/>
      <c r="AL37" s="82"/>
      <c r="AM37" s="28"/>
      <c r="BV37" s="52"/>
      <c r="BX37" s="1"/>
    </row>
    <row r="38" spans="2:76" ht="14" customHeight="1">
      <c r="B38" s="30"/>
      <c r="C38" s="88" t="s">
        <v>173</v>
      </c>
      <c r="D38" s="88"/>
      <c r="E38" s="88"/>
      <c r="F38" s="88"/>
      <c r="G38" s="88"/>
      <c r="H38" s="88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28"/>
      <c r="BV38" s="52"/>
      <c r="BX38" s="1"/>
    </row>
    <row r="39" spans="2:76" ht="14" customHeight="1">
      <c r="B39" s="30"/>
      <c r="C39" s="88" t="s">
        <v>174</v>
      </c>
      <c r="D39" s="88"/>
      <c r="E39" s="88"/>
      <c r="F39" s="88"/>
      <c r="G39" s="88"/>
      <c r="H39" s="88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28"/>
      <c r="BV39" s="52"/>
      <c r="BX39" s="1"/>
    </row>
    <row r="40" spans="2:76" ht="14" customHeight="1">
      <c r="B40" s="30"/>
      <c r="C40" s="88" t="s">
        <v>567</v>
      </c>
      <c r="D40" s="88"/>
      <c r="E40" s="88"/>
      <c r="F40" s="88"/>
      <c r="G40" s="88"/>
      <c r="H40" s="88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28"/>
      <c r="BV40" s="52"/>
      <c r="BX40" s="1"/>
    </row>
    <row r="41" spans="2:76" ht="14" customHeight="1">
      <c r="B41" s="29"/>
      <c r="C41" s="88" t="s">
        <v>181</v>
      </c>
      <c r="D41" s="88"/>
      <c r="E41" s="88"/>
      <c r="F41" s="88"/>
      <c r="G41" s="88"/>
      <c r="H41" s="88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28"/>
      <c r="BV41" s="52"/>
      <c r="BX41" s="1"/>
    </row>
    <row r="42" spans="2:76" ht="14" customHeight="1">
      <c r="B42" s="29"/>
      <c r="C42" s="88" t="s">
        <v>182</v>
      </c>
      <c r="D42" s="88"/>
      <c r="E42" s="88"/>
      <c r="F42" s="88"/>
      <c r="G42" s="88"/>
      <c r="H42" s="88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28"/>
      <c r="BV42" s="52"/>
      <c r="BX42" s="1"/>
    </row>
    <row r="43" spans="2:76" ht="14" customHeight="1">
      <c r="B43" s="29"/>
      <c r="C43" s="88" t="s">
        <v>183</v>
      </c>
      <c r="D43" s="88"/>
      <c r="E43" s="88"/>
      <c r="F43" s="88"/>
      <c r="G43" s="88"/>
      <c r="H43" s="88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28"/>
      <c r="AP43" s="99"/>
      <c r="BV43" s="52"/>
      <c r="BX43" s="1"/>
    </row>
    <row r="44" spans="2:76" ht="13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BV44" s="52"/>
      <c r="BX44" s="1"/>
    </row>
    <row r="45" spans="2:76" ht="14" customHeight="1">
      <c r="BV45" s="52"/>
      <c r="BX45" s="1"/>
    </row>
    <row r="46" spans="2:76" ht="14" customHeight="1">
      <c r="B46" s="36" t="s">
        <v>568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BV46" s="52"/>
      <c r="BX46" s="1"/>
    </row>
    <row r="47" spans="2:76" ht="5" customHeight="1">
      <c r="BV47" s="52"/>
      <c r="BX47" s="1"/>
    </row>
    <row r="48" spans="2:76" ht="13"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BV48" s="52"/>
      <c r="BX48" s="1"/>
    </row>
    <row r="49" spans="2:76" ht="14" customHeight="1">
      <c r="B49" s="42"/>
      <c r="C49" s="79" t="s">
        <v>569</v>
      </c>
      <c r="D49" s="79"/>
      <c r="E49" s="79"/>
      <c r="F49" s="79"/>
      <c r="G49" s="79"/>
      <c r="H49" s="79"/>
      <c r="I49" s="81"/>
      <c r="J49" s="81"/>
      <c r="K49" s="81"/>
      <c r="L49" s="81"/>
      <c r="M49" s="81"/>
      <c r="N49" s="81"/>
      <c r="O49" s="79" t="s">
        <v>570</v>
      </c>
      <c r="P49" s="79"/>
      <c r="Q49" s="79"/>
      <c r="R49" s="79"/>
      <c r="S49" s="79"/>
      <c r="T49" s="79"/>
      <c r="U49" s="81"/>
      <c r="V49" s="81"/>
      <c r="W49" s="81"/>
      <c r="X49" s="81"/>
      <c r="Y49" s="81"/>
      <c r="Z49" s="81"/>
      <c r="AA49" s="79" t="s">
        <v>571</v>
      </c>
      <c r="AB49" s="79"/>
      <c r="AC49" s="79"/>
      <c r="AD49" s="79"/>
      <c r="AE49" s="79"/>
      <c r="AF49" s="79"/>
      <c r="AG49" s="81"/>
      <c r="AH49" s="81"/>
      <c r="AI49" s="81"/>
      <c r="AJ49" s="81"/>
      <c r="AK49" s="81"/>
      <c r="AL49" s="81"/>
      <c r="AM49" s="42"/>
      <c r="BV49" s="52"/>
      <c r="BX49" s="1"/>
    </row>
    <row r="50" spans="2:76" ht="5" customHeight="1">
      <c r="B50" s="42"/>
      <c r="C50" s="43"/>
      <c r="D50" s="43"/>
      <c r="E50" s="43"/>
      <c r="F50" s="43"/>
      <c r="G50" s="43"/>
      <c r="H50" s="43"/>
      <c r="I50" s="42"/>
      <c r="J50" s="42"/>
      <c r="K50" s="42"/>
      <c r="L50" s="42"/>
      <c r="M50" s="42"/>
      <c r="N50" s="42"/>
      <c r="O50" s="44"/>
      <c r="P50" s="44"/>
      <c r="Q50" s="44"/>
      <c r="R50" s="44"/>
      <c r="S50" s="44"/>
      <c r="T50" s="44"/>
      <c r="U50" s="42"/>
      <c r="V50" s="42"/>
      <c r="W50" s="42"/>
      <c r="X50" s="42"/>
      <c r="Y50" s="42"/>
      <c r="Z50" s="42"/>
      <c r="AA50" s="44"/>
      <c r="AB50" s="44"/>
      <c r="AC50" s="44"/>
      <c r="AD50" s="44"/>
      <c r="AE50" s="44"/>
      <c r="AF50" s="44"/>
      <c r="AG50" s="42"/>
      <c r="AH50" s="42"/>
      <c r="AI50" s="42"/>
      <c r="AJ50" s="42"/>
      <c r="AK50" s="42"/>
      <c r="AL50" s="42"/>
      <c r="AM50" s="42"/>
      <c r="BV50" s="52"/>
      <c r="BX50" s="1"/>
    </row>
    <row r="51" spans="2:76" ht="14" customHeight="1">
      <c r="B51" s="42"/>
      <c r="C51" s="79" t="s">
        <v>567</v>
      </c>
      <c r="D51" s="79"/>
      <c r="E51" s="79"/>
      <c r="F51" s="79"/>
      <c r="G51" s="79"/>
      <c r="H51" s="79"/>
      <c r="I51" s="96"/>
      <c r="J51" s="97"/>
      <c r="K51" s="97"/>
      <c r="L51" s="97"/>
      <c r="M51" s="97"/>
      <c r="N51" s="98"/>
      <c r="O51" s="80" t="s">
        <v>557</v>
      </c>
      <c r="P51" s="80"/>
      <c r="Q51" s="80"/>
      <c r="R51" s="80"/>
      <c r="S51" s="80"/>
      <c r="T51" s="80"/>
      <c r="U51" s="81"/>
      <c r="V51" s="81"/>
      <c r="W51" s="81"/>
      <c r="X51" s="81"/>
      <c r="Y51" s="81"/>
      <c r="Z51" s="81"/>
      <c r="AA51" s="79" t="s">
        <v>572</v>
      </c>
      <c r="AB51" s="79"/>
      <c r="AC51" s="79"/>
      <c r="AD51" s="79"/>
      <c r="AE51" s="79"/>
      <c r="AF51" s="79"/>
      <c r="AG51" s="81"/>
      <c r="AH51" s="81"/>
      <c r="AI51" s="81"/>
      <c r="AJ51" s="81"/>
      <c r="AK51" s="81"/>
      <c r="AL51" s="81"/>
      <c r="AM51" s="45"/>
      <c r="BV51" s="52"/>
      <c r="BX51" s="1"/>
    </row>
    <row r="52" spans="2:76" ht="5" customHeight="1">
      <c r="B52" s="42"/>
      <c r="C52" s="43"/>
      <c r="D52" s="43"/>
      <c r="E52" s="43"/>
      <c r="F52" s="43"/>
      <c r="G52" s="43"/>
      <c r="H52" s="43"/>
      <c r="I52" s="42"/>
      <c r="J52" s="42"/>
      <c r="K52" s="42"/>
      <c r="L52" s="42"/>
      <c r="M52" s="42"/>
      <c r="N52" s="42"/>
      <c r="O52" s="44"/>
      <c r="P52" s="44"/>
      <c r="Q52" s="44"/>
      <c r="R52" s="44"/>
      <c r="S52" s="44"/>
      <c r="T52" s="44"/>
      <c r="U52" s="42"/>
      <c r="V52" s="42"/>
      <c r="W52" s="42"/>
      <c r="X52" s="42"/>
      <c r="Y52" s="42"/>
      <c r="Z52" s="42"/>
      <c r="AA52" s="44"/>
      <c r="AB52" s="44"/>
      <c r="AC52" s="44"/>
      <c r="AD52" s="44"/>
      <c r="AE52" s="44"/>
      <c r="AF52" s="44"/>
      <c r="AG52" s="42"/>
      <c r="AH52" s="42"/>
      <c r="AI52" s="42"/>
      <c r="AJ52" s="42"/>
      <c r="AK52" s="42"/>
      <c r="AL52" s="42"/>
      <c r="AM52" s="42"/>
      <c r="BV52" s="52"/>
      <c r="BX52" s="1"/>
    </row>
    <row r="53" spans="2:76" ht="14" customHeight="1">
      <c r="B53" s="42"/>
      <c r="C53" s="79" t="s">
        <v>573</v>
      </c>
      <c r="D53" s="79"/>
      <c r="E53" s="79"/>
      <c r="F53" s="79"/>
      <c r="G53" s="79"/>
      <c r="H53" s="100"/>
      <c r="I53" s="96"/>
      <c r="J53" s="97"/>
      <c r="K53" s="97"/>
      <c r="L53" s="97"/>
      <c r="M53" s="97"/>
      <c r="N53" s="98"/>
      <c r="O53" s="80" t="s">
        <v>574</v>
      </c>
      <c r="P53" s="80"/>
      <c r="Q53" s="80"/>
      <c r="R53" s="80"/>
      <c r="S53" s="80"/>
      <c r="T53" s="101"/>
      <c r="U53" s="81"/>
      <c r="V53" s="81"/>
      <c r="W53" s="81"/>
      <c r="X53" s="81"/>
      <c r="Y53" s="81"/>
      <c r="Z53" s="81"/>
      <c r="AA53" s="102" t="s">
        <v>575</v>
      </c>
      <c r="AB53" s="79"/>
      <c r="AC53" s="79"/>
      <c r="AD53" s="79"/>
      <c r="AE53" s="79"/>
      <c r="AF53" s="100"/>
      <c r="AG53" s="81"/>
      <c r="AH53" s="81"/>
      <c r="AI53" s="81"/>
      <c r="AJ53" s="81"/>
      <c r="AK53" s="81"/>
      <c r="AL53" s="81"/>
      <c r="AM53" s="45"/>
      <c r="BV53" s="52"/>
      <c r="BX53" s="1"/>
    </row>
    <row r="54" spans="2:76" ht="5" customHeight="1">
      <c r="B54" s="42"/>
      <c r="C54" s="43"/>
      <c r="D54" s="43"/>
      <c r="E54" s="43"/>
      <c r="F54" s="43"/>
      <c r="G54" s="43"/>
      <c r="H54" s="43"/>
      <c r="I54" s="42"/>
      <c r="J54" s="42"/>
      <c r="K54" s="42"/>
      <c r="L54" s="42"/>
      <c r="M54" s="42"/>
      <c r="N54" s="42"/>
      <c r="O54" s="44"/>
      <c r="P54" s="44"/>
      <c r="Q54" s="44"/>
      <c r="R54" s="44"/>
      <c r="S54" s="44"/>
      <c r="T54" s="44"/>
      <c r="U54" s="42"/>
      <c r="V54" s="42"/>
      <c r="W54" s="42"/>
      <c r="X54" s="42"/>
      <c r="Y54" s="42"/>
      <c r="Z54" s="42"/>
      <c r="AA54" s="44"/>
      <c r="AB54" s="44"/>
      <c r="AC54" s="44"/>
      <c r="AD54" s="44"/>
      <c r="AE54" s="44"/>
      <c r="AF54" s="44"/>
      <c r="AG54" s="42"/>
      <c r="AH54" s="42"/>
      <c r="AI54" s="42"/>
      <c r="AJ54" s="42"/>
      <c r="AK54" s="42"/>
      <c r="AL54" s="42"/>
      <c r="AM54" s="42"/>
      <c r="BV54" s="52"/>
      <c r="BX54" s="1"/>
    </row>
    <row r="55" spans="2:76" ht="14" customHeight="1">
      <c r="B55" s="42"/>
      <c r="C55" s="79" t="s">
        <v>576</v>
      </c>
      <c r="D55" s="79"/>
      <c r="E55" s="79"/>
      <c r="F55" s="79"/>
      <c r="G55" s="79"/>
      <c r="H55" s="100"/>
      <c r="I55" s="96"/>
      <c r="J55" s="97"/>
      <c r="K55" s="97"/>
      <c r="L55" s="97"/>
      <c r="M55" s="97"/>
      <c r="N55" s="98"/>
      <c r="O55" s="44"/>
      <c r="P55" s="44"/>
      <c r="Q55" s="44"/>
      <c r="R55" s="44"/>
      <c r="S55" s="44"/>
      <c r="T55" s="44"/>
      <c r="U55" s="42"/>
      <c r="V55" s="42"/>
      <c r="W55" s="42"/>
      <c r="X55" s="42"/>
      <c r="Y55" s="42"/>
      <c r="Z55" s="42"/>
      <c r="AA55" s="44"/>
      <c r="AB55" s="44"/>
      <c r="AC55" s="44"/>
      <c r="AD55" s="44"/>
      <c r="AE55" s="44"/>
      <c r="AF55" s="44"/>
      <c r="AG55" s="42"/>
      <c r="AH55" s="42"/>
      <c r="AI55" s="42"/>
      <c r="AJ55" s="42"/>
      <c r="AK55" s="42"/>
      <c r="AL55" s="42"/>
      <c r="AM55" s="45"/>
      <c r="BV55" s="52"/>
      <c r="BX55" s="1"/>
    </row>
    <row r="56" spans="2:76" ht="13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BV56" s="52"/>
      <c r="BX56" s="1"/>
    </row>
    <row r="57" spans="2:76" ht="13">
      <c r="I57" s="103"/>
      <c r="J57" s="103"/>
      <c r="K57" s="103"/>
      <c r="L57" s="103"/>
      <c r="M57" s="103"/>
      <c r="N57" s="103"/>
      <c r="BV57" s="52"/>
      <c r="BX57" s="1"/>
    </row>
    <row r="58" spans="2:76" ht="13">
      <c r="B58" s="36" t="s">
        <v>184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BV58" s="52"/>
      <c r="BX58" s="1"/>
    </row>
    <row r="59" spans="2:76" ht="5" customHeight="1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BV59" s="52"/>
      <c r="BX59" s="1"/>
    </row>
    <row r="60" spans="2:76" ht="13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BV60" s="52"/>
      <c r="BX60" s="1"/>
    </row>
    <row r="61" spans="2:76" ht="15">
      <c r="B61" s="28"/>
      <c r="C61" s="62" t="s">
        <v>548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28"/>
      <c r="BV61" s="52"/>
      <c r="BX61" s="1"/>
    </row>
    <row r="62" spans="2:76" ht="13">
      <c r="B62" s="28"/>
      <c r="C62" s="92" t="s">
        <v>554</v>
      </c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28"/>
      <c r="BV62" s="52"/>
      <c r="BX62" s="1"/>
    </row>
    <row r="63" spans="2:76" ht="15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T63"/>
      <c r="BV63" s="52"/>
      <c r="BX63" s="1"/>
    </row>
    <row r="64" spans="2:76" ht="15">
      <c r="B64" s="28"/>
      <c r="C64" s="104" t="s">
        <v>545</v>
      </c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28"/>
      <c r="O64" s="104" t="s">
        <v>546</v>
      </c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28"/>
      <c r="AA64" s="104" t="s">
        <v>547</v>
      </c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28"/>
      <c r="AM64" s="28"/>
      <c r="AT64"/>
      <c r="BV64" s="52"/>
      <c r="BX64" s="1"/>
    </row>
    <row r="65" spans="2:76" ht="13">
      <c r="B65" s="28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28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28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28"/>
      <c r="AM65" s="28"/>
      <c r="BV65" s="52"/>
      <c r="BX65" s="1"/>
    </row>
    <row r="66" spans="2:76" ht="13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BV66" s="52"/>
      <c r="BX66" s="1"/>
    </row>
    <row r="67" spans="2:76" ht="15">
      <c r="B67" s="28"/>
      <c r="C67" s="65" t="s">
        <v>429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BV67" s="52"/>
      <c r="BX67" s="1"/>
    </row>
    <row r="68" spans="2:76" ht="13">
      <c r="B68" s="28"/>
      <c r="C68" s="92" t="s">
        <v>187</v>
      </c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28"/>
      <c r="BV68" s="52"/>
      <c r="BX68" s="1"/>
    </row>
    <row r="69" spans="2:76" ht="13">
      <c r="B69" s="28"/>
      <c r="C69" s="76" t="s">
        <v>185</v>
      </c>
      <c r="D69" s="76"/>
      <c r="E69" s="76"/>
      <c r="F69" s="76"/>
      <c r="G69" s="76"/>
      <c r="H69" s="76"/>
      <c r="I69" s="76"/>
      <c r="J69" s="76"/>
      <c r="K69" s="76"/>
      <c r="L69" s="77"/>
      <c r="M69" s="77"/>
      <c r="N69" s="48" t="b">
        <v>0</v>
      </c>
      <c r="O69" s="39"/>
      <c r="P69" s="72" t="s">
        <v>190</v>
      </c>
      <c r="Q69" s="72"/>
      <c r="R69" s="72"/>
      <c r="S69" s="72"/>
      <c r="T69" s="72"/>
      <c r="U69" s="72"/>
      <c r="V69" s="72"/>
      <c r="W69" s="73"/>
      <c r="X69" s="77"/>
      <c r="Y69" s="77"/>
      <c r="Z69" s="48" t="b">
        <v>0</v>
      </c>
      <c r="AA69" s="39"/>
      <c r="AB69" s="72" t="s">
        <v>192</v>
      </c>
      <c r="AC69" s="72"/>
      <c r="AD69" s="72"/>
      <c r="AE69" s="72"/>
      <c r="AF69" s="72"/>
      <c r="AG69" s="72"/>
      <c r="AH69" s="72"/>
      <c r="AI69" s="73"/>
      <c r="AJ69" s="77"/>
      <c r="AK69" s="77"/>
      <c r="AL69" s="49" t="b">
        <v>0</v>
      </c>
      <c r="AM69" s="28"/>
      <c r="BV69" s="52"/>
      <c r="BX69" s="1"/>
    </row>
    <row r="70" spans="2:76" ht="13">
      <c r="B70" s="28"/>
      <c r="C70" s="76" t="s">
        <v>196</v>
      </c>
      <c r="D70" s="76"/>
      <c r="E70" s="76"/>
      <c r="F70" s="76"/>
      <c r="G70" s="76"/>
      <c r="H70" s="76"/>
      <c r="I70" s="76"/>
      <c r="J70" s="76"/>
      <c r="K70" s="76"/>
      <c r="L70" s="77"/>
      <c r="M70" s="77"/>
      <c r="N70" s="48" t="b">
        <v>0</v>
      </c>
      <c r="O70" s="39"/>
      <c r="P70" s="72" t="s">
        <v>200</v>
      </c>
      <c r="Q70" s="72"/>
      <c r="R70" s="72"/>
      <c r="S70" s="72"/>
      <c r="T70" s="72"/>
      <c r="U70" s="72"/>
      <c r="V70" s="72"/>
      <c r="W70" s="73"/>
      <c r="X70" s="77"/>
      <c r="Y70" s="77"/>
      <c r="Z70" s="48" t="b">
        <v>0</v>
      </c>
      <c r="AA70" s="39"/>
      <c r="AB70" s="72" t="s">
        <v>203</v>
      </c>
      <c r="AC70" s="72"/>
      <c r="AD70" s="72"/>
      <c r="AE70" s="72"/>
      <c r="AF70" s="72"/>
      <c r="AG70" s="72"/>
      <c r="AH70" s="72"/>
      <c r="AI70" s="73"/>
      <c r="AJ70" s="77"/>
      <c r="AK70" s="77"/>
      <c r="AL70" s="49" t="b">
        <v>0</v>
      </c>
      <c r="AM70" s="28"/>
      <c r="BV70" s="52"/>
      <c r="BX70" s="1"/>
    </row>
    <row r="71" spans="2:76" ht="15">
      <c r="B71" s="28"/>
      <c r="C71" s="76" t="s">
        <v>191</v>
      </c>
      <c r="D71" s="76"/>
      <c r="E71" s="76"/>
      <c r="F71" s="76"/>
      <c r="G71" s="76"/>
      <c r="H71" s="76"/>
      <c r="I71" s="76"/>
      <c r="J71" s="76"/>
      <c r="K71" s="76"/>
      <c r="L71" s="77"/>
      <c r="M71" s="77"/>
      <c r="N71" s="48" t="b">
        <v>0</v>
      </c>
      <c r="O71" s="39"/>
      <c r="P71" s="72" t="s">
        <v>201</v>
      </c>
      <c r="Q71" s="72"/>
      <c r="R71" s="72"/>
      <c r="S71" s="72"/>
      <c r="T71" s="72"/>
      <c r="U71" s="72"/>
      <c r="V71" s="72"/>
      <c r="W71" s="73"/>
      <c r="X71" s="77"/>
      <c r="Y71" s="77"/>
      <c r="Z71" s="48" t="b">
        <v>0</v>
      </c>
      <c r="AA71" s="39"/>
      <c r="AB71" s="72" t="s">
        <v>193</v>
      </c>
      <c r="AC71" s="72"/>
      <c r="AD71" s="72"/>
      <c r="AE71" s="72"/>
      <c r="AF71" s="72"/>
      <c r="AG71" s="72"/>
      <c r="AH71" s="72"/>
      <c r="AI71" s="73"/>
      <c r="AJ71" s="77"/>
      <c r="AK71" s="77"/>
      <c r="AL71" s="49" t="b">
        <v>0</v>
      </c>
      <c r="AM71" s="28"/>
      <c r="AP71" s="46"/>
      <c r="BV71" s="52"/>
      <c r="BX71" s="1"/>
    </row>
    <row r="72" spans="2:76" ht="13">
      <c r="B72" s="28"/>
      <c r="C72" s="76" t="s">
        <v>197</v>
      </c>
      <c r="D72" s="76"/>
      <c r="E72" s="76"/>
      <c r="F72" s="76"/>
      <c r="G72" s="76"/>
      <c r="H72" s="76"/>
      <c r="I72" s="76"/>
      <c r="J72" s="76"/>
      <c r="K72" s="76"/>
      <c r="L72" s="77"/>
      <c r="M72" s="77"/>
      <c r="N72" s="48" t="b">
        <v>0</v>
      </c>
      <c r="O72" s="39"/>
      <c r="P72" s="72" t="s">
        <v>188</v>
      </c>
      <c r="Q72" s="72"/>
      <c r="R72" s="72"/>
      <c r="S72" s="72"/>
      <c r="T72" s="72"/>
      <c r="U72" s="72"/>
      <c r="V72" s="72"/>
      <c r="W72" s="73"/>
      <c r="X72" s="77"/>
      <c r="Y72" s="77"/>
      <c r="Z72" s="48" t="b">
        <v>0</v>
      </c>
      <c r="AA72" s="39"/>
      <c r="AB72" s="72" t="s">
        <v>195</v>
      </c>
      <c r="AC72" s="72"/>
      <c r="AD72" s="72"/>
      <c r="AE72" s="72"/>
      <c r="AF72" s="72"/>
      <c r="AG72" s="72"/>
      <c r="AH72" s="72"/>
      <c r="AI72" s="73"/>
      <c r="AJ72" s="77"/>
      <c r="AK72" s="77"/>
      <c r="AL72" s="49" t="b">
        <v>0</v>
      </c>
      <c r="AM72" s="28"/>
      <c r="BV72" s="52"/>
      <c r="BX72" s="1"/>
    </row>
    <row r="73" spans="2:76" ht="13">
      <c r="B73" s="28"/>
      <c r="C73" s="76" t="s">
        <v>198</v>
      </c>
      <c r="D73" s="76"/>
      <c r="E73" s="76"/>
      <c r="F73" s="76"/>
      <c r="G73" s="76"/>
      <c r="H73" s="76"/>
      <c r="I73" s="76"/>
      <c r="J73" s="76"/>
      <c r="K73" s="76"/>
      <c r="L73" s="77"/>
      <c r="M73" s="77"/>
      <c r="N73" s="48" t="b">
        <v>0</v>
      </c>
      <c r="O73" s="39"/>
      <c r="P73" s="72" t="s">
        <v>189</v>
      </c>
      <c r="Q73" s="72"/>
      <c r="R73" s="72"/>
      <c r="S73" s="72"/>
      <c r="T73" s="72"/>
      <c r="U73" s="72"/>
      <c r="V73" s="72"/>
      <c r="W73" s="73"/>
      <c r="X73" s="77"/>
      <c r="Y73" s="77"/>
      <c r="Z73" s="48" t="b">
        <v>0</v>
      </c>
      <c r="AA73" s="39"/>
      <c r="AB73" s="72" t="s">
        <v>194</v>
      </c>
      <c r="AC73" s="72"/>
      <c r="AD73" s="72"/>
      <c r="AE73" s="72"/>
      <c r="AF73" s="72"/>
      <c r="AG73" s="72"/>
      <c r="AH73" s="72"/>
      <c r="AI73" s="73"/>
      <c r="AJ73" s="77"/>
      <c r="AK73" s="77"/>
      <c r="AL73" s="49" t="b">
        <v>0</v>
      </c>
      <c r="AM73" s="28"/>
      <c r="BV73" s="52"/>
      <c r="BX73" s="1"/>
    </row>
    <row r="74" spans="2:76" ht="15">
      <c r="B74" s="28"/>
      <c r="C74" s="76" t="s">
        <v>199</v>
      </c>
      <c r="D74" s="76"/>
      <c r="E74" s="76"/>
      <c r="F74" s="76"/>
      <c r="G74" s="76"/>
      <c r="H74" s="76"/>
      <c r="I74" s="76"/>
      <c r="J74" s="76"/>
      <c r="K74" s="76"/>
      <c r="L74" s="77"/>
      <c r="M74" s="77"/>
      <c r="N74" s="48" t="b">
        <v>0</v>
      </c>
      <c r="O74" s="39"/>
      <c r="P74" s="72" t="s">
        <v>202</v>
      </c>
      <c r="Q74" s="72"/>
      <c r="R74" s="72"/>
      <c r="S74" s="72"/>
      <c r="T74" s="72"/>
      <c r="U74" s="72"/>
      <c r="V74" s="72"/>
      <c r="W74" s="73"/>
      <c r="X74" s="77"/>
      <c r="Y74" s="77"/>
      <c r="Z74" s="48" t="b">
        <v>0</v>
      </c>
      <c r="AA74" s="39"/>
      <c r="AB74" s="72" t="s">
        <v>186</v>
      </c>
      <c r="AC74" s="72"/>
      <c r="AD74" s="72"/>
      <c r="AE74" s="72"/>
      <c r="AF74" s="72"/>
      <c r="AG74" s="72"/>
      <c r="AH74" s="72"/>
      <c r="AI74" s="73"/>
      <c r="AJ74" s="77"/>
      <c r="AK74" s="77"/>
      <c r="AL74" s="49" t="b">
        <v>0</v>
      </c>
      <c r="AM74" s="28"/>
      <c r="AT74"/>
      <c r="BV74" s="52"/>
      <c r="BX74" s="1"/>
    </row>
    <row r="75" spans="2:76" ht="5" customHeight="1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31"/>
      <c r="O75" s="31"/>
      <c r="P75" s="31"/>
      <c r="Q75" s="31"/>
      <c r="R75" s="31"/>
      <c r="S75" s="31"/>
      <c r="T75" s="31"/>
      <c r="U75" s="31"/>
      <c r="V75" s="31"/>
      <c r="W75" s="28"/>
      <c r="X75" s="28"/>
      <c r="Y75" s="28"/>
      <c r="Z75" s="28"/>
      <c r="AA75" s="31"/>
      <c r="AB75" s="31"/>
      <c r="AC75" s="31"/>
      <c r="AD75" s="31"/>
      <c r="AE75" s="31"/>
      <c r="AF75" s="31"/>
      <c r="AG75" s="31"/>
      <c r="AH75" s="31"/>
      <c r="AI75" s="31"/>
      <c r="AJ75" s="28"/>
      <c r="AK75" s="28"/>
      <c r="AL75" s="28"/>
      <c r="AM75" s="28"/>
      <c r="BV75" s="52"/>
      <c r="BX75" s="1"/>
    </row>
    <row r="76" spans="2:76" ht="13">
      <c r="B76" s="28"/>
      <c r="C76" s="28" t="s">
        <v>206</v>
      </c>
      <c r="D76" s="28"/>
      <c r="E76" s="28"/>
      <c r="F76" s="93">
        <f>L69+L70+L71+L72+L73+L74+X69+X70+X71+X72+X73+X74+AJ69+AJ70+AJ71+AJ72+AJ73+AJ74</f>
        <v>0</v>
      </c>
      <c r="G76" s="94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BV76" s="52"/>
      <c r="BX76" s="1"/>
    </row>
    <row r="77" spans="2:76" ht="6" customHeight="1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T77"/>
      <c r="BV77" s="52"/>
      <c r="BX77" s="1"/>
    </row>
    <row r="78" spans="2:76" ht="13">
      <c r="B78" s="28"/>
      <c r="C78" s="106" t="s">
        <v>207</v>
      </c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28"/>
      <c r="BV78" s="52"/>
      <c r="BX78" s="1"/>
    </row>
    <row r="79" spans="2:76" ht="13">
      <c r="B79" s="28"/>
      <c r="C79" s="104" t="s">
        <v>504</v>
      </c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77"/>
      <c r="AL79" s="77"/>
      <c r="AM79" s="28"/>
      <c r="BV79" s="52"/>
      <c r="BX79" s="1"/>
    </row>
    <row r="80" spans="2:76" ht="13">
      <c r="B80" s="28"/>
      <c r="C80" s="108" t="s">
        <v>507</v>
      </c>
      <c r="D80" s="108"/>
      <c r="E80" s="108"/>
      <c r="F80" s="108"/>
      <c r="G80" s="108"/>
      <c r="H80" s="108"/>
      <c r="I80" s="108"/>
      <c r="J80" s="108"/>
      <c r="K80" s="108"/>
      <c r="L80" s="109"/>
      <c r="M80" s="109"/>
      <c r="N80" s="107" t="b">
        <v>0</v>
      </c>
      <c r="O80" s="108" t="s">
        <v>509</v>
      </c>
      <c r="P80" s="108" t="s">
        <v>509</v>
      </c>
      <c r="Q80" s="108"/>
      <c r="R80" s="108"/>
      <c r="S80" s="108"/>
      <c r="T80" s="108"/>
      <c r="U80" s="108"/>
      <c r="V80" s="108"/>
      <c r="W80" s="108"/>
      <c r="X80" s="109"/>
      <c r="Y80" s="109"/>
      <c r="Z80" s="107" t="b">
        <v>0</v>
      </c>
      <c r="AA80" s="108" t="s">
        <v>511</v>
      </c>
      <c r="AB80" s="108" t="s">
        <v>511</v>
      </c>
      <c r="AC80" s="108"/>
      <c r="AD80" s="108"/>
      <c r="AE80" s="108"/>
      <c r="AF80" s="108"/>
      <c r="AG80" s="108"/>
      <c r="AH80" s="108"/>
      <c r="AI80" s="108"/>
      <c r="AJ80" s="109"/>
      <c r="AK80" s="109"/>
      <c r="AL80" s="107" t="b">
        <v>0</v>
      </c>
      <c r="AM80" s="28"/>
      <c r="BV80" s="52"/>
      <c r="BX80" s="1"/>
    </row>
    <row r="81" spans="2:76" ht="13">
      <c r="B81" s="28"/>
      <c r="C81" s="108" t="s">
        <v>508</v>
      </c>
      <c r="D81" s="108"/>
      <c r="E81" s="108"/>
      <c r="F81" s="108"/>
      <c r="G81" s="108"/>
      <c r="H81" s="108"/>
      <c r="I81" s="108"/>
      <c r="J81" s="108"/>
      <c r="K81" s="108"/>
      <c r="L81" s="109"/>
      <c r="M81" s="109"/>
      <c r="N81" s="107" t="b">
        <v>0</v>
      </c>
      <c r="O81" s="108" t="s">
        <v>577</v>
      </c>
      <c r="P81" s="108" t="s">
        <v>510</v>
      </c>
      <c r="Q81" s="108"/>
      <c r="R81" s="108"/>
      <c r="S81" s="108"/>
      <c r="T81" s="108"/>
      <c r="U81" s="108"/>
      <c r="V81" s="108"/>
      <c r="W81" s="108"/>
      <c r="X81" s="109"/>
      <c r="Y81" s="109"/>
      <c r="Z81" s="107" t="b">
        <v>0</v>
      </c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28"/>
      <c r="BV81" s="52"/>
      <c r="BX81" s="1"/>
    </row>
    <row r="82" spans="2:76" ht="13">
      <c r="B82" s="28"/>
      <c r="C82" s="104" t="s">
        <v>506</v>
      </c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77"/>
      <c r="AL82" s="77"/>
      <c r="AM82" s="28"/>
      <c r="BV82" s="52"/>
      <c r="BX82" s="1"/>
    </row>
    <row r="83" spans="2:76" ht="30" customHeight="1">
      <c r="B83" s="28"/>
      <c r="C83" s="108" t="s">
        <v>512</v>
      </c>
      <c r="D83" s="108"/>
      <c r="E83" s="108"/>
      <c r="F83" s="108"/>
      <c r="G83" s="108"/>
      <c r="H83" s="108"/>
      <c r="I83" s="108"/>
      <c r="J83" s="108"/>
      <c r="K83" s="108"/>
      <c r="L83" s="109"/>
      <c r="M83" s="109"/>
      <c r="N83" s="107" t="b">
        <v>0</v>
      </c>
      <c r="O83" s="108" t="s">
        <v>519</v>
      </c>
      <c r="P83" s="108" t="s">
        <v>519</v>
      </c>
      <c r="Q83" s="108"/>
      <c r="R83" s="108"/>
      <c r="S83" s="108"/>
      <c r="T83" s="108"/>
      <c r="U83" s="108"/>
      <c r="V83" s="108"/>
      <c r="W83" s="108"/>
      <c r="X83" s="109"/>
      <c r="Y83" s="109"/>
      <c r="Z83" s="107" t="b">
        <v>0</v>
      </c>
      <c r="AA83" s="108" t="s">
        <v>520</v>
      </c>
      <c r="AB83" s="108" t="s">
        <v>520</v>
      </c>
      <c r="AC83" s="108"/>
      <c r="AD83" s="108"/>
      <c r="AE83" s="108"/>
      <c r="AF83" s="108"/>
      <c r="AG83" s="108"/>
      <c r="AH83" s="108"/>
      <c r="AI83" s="108"/>
      <c r="AJ83" s="109"/>
      <c r="AK83" s="109"/>
      <c r="AL83" s="107" t="b">
        <v>0</v>
      </c>
      <c r="AM83" s="28"/>
      <c r="BV83" s="52"/>
      <c r="BX83" s="1"/>
    </row>
    <row r="84" spans="2:76" ht="13">
      <c r="B84" s="28"/>
      <c r="C84" s="108" t="s">
        <v>513</v>
      </c>
      <c r="D84" s="108"/>
      <c r="E84" s="108"/>
      <c r="F84" s="108"/>
      <c r="G84" s="108"/>
      <c r="H84" s="108"/>
      <c r="I84" s="108"/>
      <c r="J84" s="108"/>
      <c r="K84" s="108"/>
      <c r="L84" s="109"/>
      <c r="M84" s="109"/>
      <c r="N84" s="107" t="b">
        <v>0</v>
      </c>
      <c r="O84" s="108" t="s">
        <v>521</v>
      </c>
      <c r="P84" s="108" t="s">
        <v>521</v>
      </c>
      <c r="Q84" s="108"/>
      <c r="R84" s="108"/>
      <c r="S84" s="108"/>
      <c r="T84" s="108"/>
      <c r="U84" s="108"/>
      <c r="V84" s="108"/>
      <c r="W84" s="108"/>
      <c r="X84" s="109"/>
      <c r="Y84" s="109"/>
      <c r="Z84" s="107" t="b">
        <v>0</v>
      </c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28"/>
      <c r="BV84" s="52"/>
      <c r="BX84" s="1"/>
    </row>
    <row r="85" spans="2:76" ht="13">
      <c r="B85" s="28"/>
      <c r="C85" s="104" t="s">
        <v>505</v>
      </c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77"/>
      <c r="AL85" s="77"/>
      <c r="AM85" s="28"/>
      <c r="BV85" s="52"/>
      <c r="BX85" s="1"/>
    </row>
    <row r="86" spans="2:76" ht="13">
      <c r="B86" s="28"/>
      <c r="C86" s="108" t="s">
        <v>514</v>
      </c>
      <c r="D86" s="108"/>
      <c r="E86" s="108"/>
      <c r="F86" s="108"/>
      <c r="G86" s="108"/>
      <c r="H86" s="108"/>
      <c r="I86" s="108"/>
      <c r="J86" s="108"/>
      <c r="K86" s="108"/>
      <c r="L86" s="109"/>
      <c r="M86" s="109"/>
      <c r="N86" s="107" t="b">
        <v>0</v>
      </c>
      <c r="O86" s="108" t="s">
        <v>516</v>
      </c>
      <c r="P86" s="108" t="s">
        <v>516</v>
      </c>
      <c r="Q86" s="108"/>
      <c r="R86" s="108"/>
      <c r="S86" s="108"/>
      <c r="T86" s="108"/>
      <c r="U86" s="108"/>
      <c r="V86" s="108"/>
      <c r="W86" s="108"/>
      <c r="X86" s="109"/>
      <c r="Y86" s="109"/>
      <c r="Z86" s="107" t="b">
        <v>0</v>
      </c>
      <c r="AA86" s="108" t="s">
        <v>518</v>
      </c>
      <c r="AB86" s="108" t="s">
        <v>518</v>
      </c>
      <c r="AC86" s="108"/>
      <c r="AD86" s="108"/>
      <c r="AE86" s="108"/>
      <c r="AF86" s="108"/>
      <c r="AG86" s="108"/>
      <c r="AH86" s="108"/>
      <c r="AI86" s="108"/>
      <c r="AJ86" s="109"/>
      <c r="AK86" s="109"/>
      <c r="AL86" s="107" t="b">
        <v>0</v>
      </c>
      <c r="AM86" s="28"/>
      <c r="BV86" s="52"/>
      <c r="BX86" s="1"/>
    </row>
    <row r="87" spans="2:76" ht="13">
      <c r="B87" s="28"/>
      <c r="C87" s="108" t="s">
        <v>515</v>
      </c>
      <c r="D87" s="108"/>
      <c r="E87" s="108"/>
      <c r="F87" s="108"/>
      <c r="G87" s="108"/>
      <c r="H87" s="108"/>
      <c r="I87" s="108"/>
      <c r="J87" s="108"/>
      <c r="K87" s="108"/>
      <c r="L87" s="109"/>
      <c r="M87" s="109"/>
      <c r="N87" s="107" t="b">
        <v>0</v>
      </c>
      <c r="O87" s="108" t="s">
        <v>517</v>
      </c>
      <c r="P87" s="108" t="s">
        <v>517</v>
      </c>
      <c r="Q87" s="108"/>
      <c r="R87" s="108"/>
      <c r="S87" s="108"/>
      <c r="T87" s="108"/>
      <c r="U87" s="108"/>
      <c r="V87" s="108"/>
      <c r="W87" s="108"/>
      <c r="X87" s="109"/>
      <c r="Y87" s="109"/>
      <c r="Z87" s="107" t="b">
        <v>0</v>
      </c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28"/>
      <c r="BV87" s="52"/>
      <c r="BX87" s="1"/>
    </row>
    <row r="88" spans="2:76" ht="13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BV88" s="52"/>
      <c r="BX88" s="1"/>
    </row>
    <row r="89" spans="2:76" ht="13"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BV89" s="52"/>
      <c r="BX89" s="1"/>
    </row>
    <row r="90" spans="2:76" ht="13">
      <c r="B90" s="36" t="s">
        <v>578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BV90" s="52"/>
      <c r="BX90" s="1"/>
    </row>
    <row r="91" spans="2:76" ht="5" customHeight="1"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BV91" s="52"/>
      <c r="BX91" s="1"/>
    </row>
    <row r="92" spans="2:76" ht="13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BV92" s="52"/>
      <c r="BX92" s="1"/>
    </row>
    <row r="93" spans="2:76" ht="13" customHeight="1">
      <c r="B93" s="28"/>
      <c r="C93" s="74" t="s">
        <v>579</v>
      </c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28"/>
      <c r="BV93" s="52"/>
      <c r="BX93" s="1"/>
    </row>
    <row r="94" spans="2:76" ht="60" customHeight="1">
      <c r="B94" s="28"/>
      <c r="C94" s="69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1"/>
      <c r="AM94" s="28"/>
      <c r="BV94" s="52"/>
      <c r="BX94" s="1"/>
    </row>
    <row r="95" spans="2:76" ht="5" customHeight="1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BV95" s="52"/>
      <c r="BX95" s="1"/>
    </row>
    <row r="96" spans="2:76" ht="13" customHeight="1">
      <c r="B96" s="28"/>
      <c r="C96" s="111" t="s">
        <v>580</v>
      </c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28"/>
      <c r="BV96" s="52"/>
      <c r="BX96" s="1"/>
    </row>
    <row r="97" spans="2:76" ht="60" customHeight="1">
      <c r="B97" s="28"/>
      <c r="C97" s="69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1"/>
      <c r="AM97" s="28"/>
      <c r="BV97" s="52"/>
      <c r="BX97" s="1"/>
    </row>
    <row r="98" spans="2:76" ht="5" customHeight="1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BV98" s="52"/>
      <c r="BX98" s="1"/>
    </row>
    <row r="99" spans="2:76" ht="13">
      <c r="B99" s="28"/>
      <c r="C99" s="112" t="s">
        <v>581</v>
      </c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28"/>
      <c r="BV99" s="52"/>
      <c r="BX99" s="1"/>
    </row>
    <row r="100" spans="2:76" ht="60" customHeight="1">
      <c r="B100" s="28"/>
      <c r="C100" s="89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1"/>
      <c r="AM100" s="28"/>
      <c r="BV100" s="52"/>
      <c r="BX100" s="1"/>
    </row>
    <row r="101" spans="2:76" ht="5" customHeight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BV101" s="52"/>
      <c r="BX101" s="1"/>
    </row>
    <row r="102" spans="2:76" ht="13">
      <c r="B102" s="28"/>
      <c r="C102" s="111" t="s">
        <v>582</v>
      </c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28"/>
      <c r="BV102" s="52"/>
      <c r="BX102" s="1"/>
    </row>
    <row r="103" spans="2:76" ht="60" customHeight="1">
      <c r="B103" s="28"/>
      <c r="C103" s="69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1"/>
      <c r="AM103" s="28"/>
      <c r="BV103" s="52"/>
      <c r="BX103" s="1"/>
    </row>
    <row r="104" spans="2:76" ht="13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BV104" s="52"/>
      <c r="BX104" s="1"/>
    </row>
    <row r="105" spans="2:76" ht="13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spans="2:76" ht="13">
      <c r="B106" s="36" t="s">
        <v>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2:76" ht="5" customHeight="1">
      <c r="B107" s="3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2:76" ht="13">
      <c r="B108" s="28"/>
      <c r="C108" s="28" t="s">
        <v>423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</row>
    <row r="109" spans="2:76" ht="40" customHeight="1">
      <c r="B109" s="47"/>
      <c r="C109" s="69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1"/>
      <c r="AM109" s="28"/>
    </row>
    <row r="110" spans="2:76" ht="5" customHeight="1">
      <c r="B110" s="34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</row>
    <row r="111" spans="2:76" ht="13">
      <c r="B111" s="34"/>
      <c r="C111" s="28" t="s">
        <v>424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</row>
    <row r="112" spans="2:76" ht="40" customHeight="1">
      <c r="B112" s="34"/>
      <c r="C112" s="69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1"/>
      <c r="AM112" s="28"/>
    </row>
    <row r="113" spans="2:39" ht="5" customHeight="1">
      <c r="B113" s="34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</row>
    <row r="114" spans="2:39" ht="13">
      <c r="B114" s="34"/>
      <c r="C114" s="28" t="s">
        <v>425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</row>
    <row r="115" spans="2:39" ht="40" customHeight="1">
      <c r="B115" s="34"/>
      <c r="C115" s="69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1"/>
      <c r="AM115" s="28"/>
    </row>
    <row r="116" spans="2:39" ht="5" customHeight="1">
      <c r="B116" s="34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</row>
    <row r="117" spans="2:39" ht="13">
      <c r="B117" s="34"/>
      <c r="C117" s="28" t="s">
        <v>426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</row>
    <row r="118" spans="2:39" ht="40" customHeight="1">
      <c r="B118" s="34"/>
      <c r="C118" s="69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1"/>
      <c r="AM118" s="28"/>
    </row>
    <row r="119" spans="2:39" ht="5" customHeight="1">
      <c r="B119" s="34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</row>
    <row r="120" spans="2:39" ht="28" customHeight="1">
      <c r="B120" s="34"/>
      <c r="C120" s="74" t="s">
        <v>427</v>
      </c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28"/>
    </row>
    <row r="121" spans="2:39" ht="40" customHeight="1">
      <c r="B121" s="34"/>
      <c r="C121" s="69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1"/>
      <c r="AM121" s="28"/>
    </row>
    <row r="122" spans="2:39" ht="5" customHeight="1">
      <c r="B122" s="34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</row>
    <row r="123" spans="2:39" ht="13">
      <c r="B123" s="34"/>
      <c r="C123" s="28" t="s">
        <v>428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</row>
    <row r="124" spans="2:39" ht="40" customHeight="1">
      <c r="B124" s="34"/>
      <c r="C124" s="69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1"/>
      <c r="AM124" s="28"/>
    </row>
    <row r="125" spans="2:39" ht="14" customHeight="1">
      <c r="B125" s="34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</row>
    <row r="126" spans="2:39" ht="14" customHeight="1">
      <c r="B126" s="36" t="s">
        <v>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</sheetData>
  <mergeCells count="199">
    <mergeCell ref="C99:AL99"/>
    <mergeCell ref="C100:AL100"/>
    <mergeCell ref="C102:AL102"/>
    <mergeCell ref="C103:AL103"/>
    <mergeCell ref="C85:AJ85"/>
    <mergeCell ref="AK85:AL85"/>
    <mergeCell ref="C86:K86"/>
    <mergeCell ref="L86:M86"/>
    <mergeCell ref="O86:W86"/>
    <mergeCell ref="X86:Y86"/>
    <mergeCell ref="AA86:AI86"/>
    <mergeCell ref="AJ86:AK86"/>
    <mergeCell ref="C87:K87"/>
    <mergeCell ref="L87:M87"/>
    <mergeCell ref="O87:W87"/>
    <mergeCell ref="X87:Y87"/>
    <mergeCell ref="C82:AJ82"/>
    <mergeCell ref="AK82:AL82"/>
    <mergeCell ref="C83:K83"/>
    <mergeCell ref="L83:M83"/>
    <mergeCell ref="O83:W83"/>
    <mergeCell ref="X83:Y83"/>
    <mergeCell ref="AA83:AI83"/>
    <mergeCell ref="AJ83:AK83"/>
    <mergeCell ref="C84:K84"/>
    <mergeCell ref="L84:M84"/>
    <mergeCell ref="O84:W84"/>
    <mergeCell ref="X84:Y84"/>
    <mergeCell ref="C79:AJ79"/>
    <mergeCell ref="AK79:AL79"/>
    <mergeCell ref="C80:K80"/>
    <mergeCell ref="L80:M80"/>
    <mergeCell ref="O80:W80"/>
    <mergeCell ref="X80:Y80"/>
    <mergeCell ref="AA80:AI80"/>
    <mergeCell ref="AJ80:AK80"/>
    <mergeCell ref="C81:K81"/>
    <mergeCell ref="L81:M81"/>
    <mergeCell ref="O81:W81"/>
    <mergeCell ref="X81:Y81"/>
    <mergeCell ref="C96:AL96"/>
    <mergeCell ref="C97:AL97"/>
    <mergeCell ref="C93:AL93"/>
    <mergeCell ref="C94:AL94"/>
    <mergeCell ref="C55:H55"/>
    <mergeCell ref="I55:N55"/>
    <mergeCell ref="C51:H51"/>
    <mergeCell ref="I51:N51"/>
    <mergeCell ref="O51:T51"/>
    <mergeCell ref="U51:Z51"/>
    <mergeCell ref="AA51:AF51"/>
    <mergeCell ref="AG51:AL51"/>
    <mergeCell ref="C53:H53"/>
    <mergeCell ref="I53:N53"/>
    <mergeCell ref="O53:T53"/>
    <mergeCell ref="U53:Z53"/>
    <mergeCell ref="AA53:AF53"/>
    <mergeCell ref="AG53:AL53"/>
    <mergeCell ref="AA65:AK65"/>
    <mergeCell ref="O65:Y65"/>
    <mergeCell ref="C65:M65"/>
    <mergeCell ref="C19:H20"/>
    <mergeCell ref="I19:N20"/>
    <mergeCell ref="O19:T20"/>
    <mergeCell ref="U19:Z20"/>
    <mergeCell ref="AA19:AF20"/>
    <mergeCell ref="AG19:AL20"/>
    <mergeCell ref="C22:H23"/>
    <mergeCell ref="I22:N23"/>
    <mergeCell ref="O22:T23"/>
    <mergeCell ref="U22:Z23"/>
    <mergeCell ref="AA22:AF23"/>
    <mergeCell ref="AG22:AL23"/>
    <mergeCell ref="C29:H29"/>
    <mergeCell ref="I29:N29"/>
    <mergeCell ref="O29:T29"/>
    <mergeCell ref="U29:Z29"/>
    <mergeCell ref="AA29:AF29"/>
    <mergeCell ref="AG29:AL29"/>
    <mergeCell ref="C31:H31"/>
    <mergeCell ref="I31:N31"/>
    <mergeCell ref="O31:T31"/>
    <mergeCell ref="C62:AL62"/>
    <mergeCell ref="C64:M64"/>
    <mergeCell ref="O64:Y64"/>
    <mergeCell ref="AA64:AK64"/>
    <mergeCell ref="U31:Z31"/>
    <mergeCell ref="E37:F37"/>
    <mergeCell ref="C43:H43"/>
    <mergeCell ref="I43:N43"/>
    <mergeCell ref="O43:T43"/>
    <mergeCell ref="U43:Z43"/>
    <mergeCell ref="AA43:AF43"/>
    <mergeCell ref="AG43:AL43"/>
    <mergeCell ref="C49:H49"/>
    <mergeCell ref="I49:N49"/>
    <mergeCell ref="O49:T49"/>
    <mergeCell ref="U49:Z49"/>
    <mergeCell ref="AA49:AF49"/>
    <mergeCell ref="AG49:AL49"/>
    <mergeCell ref="M4:AA4"/>
    <mergeCell ref="AA87:AL87"/>
    <mergeCell ref="AA81:AL81"/>
    <mergeCell ref="AA84:AL84"/>
    <mergeCell ref="C68:AL68"/>
    <mergeCell ref="C70:K70"/>
    <mergeCell ref="C69:K69"/>
    <mergeCell ref="F76:G76"/>
    <mergeCell ref="C78:AL78"/>
    <mergeCell ref="AJ74:AK74"/>
    <mergeCell ref="AJ73:AK73"/>
    <mergeCell ref="AJ72:AK72"/>
    <mergeCell ref="AJ71:AK71"/>
    <mergeCell ref="AJ70:AK70"/>
    <mergeCell ref="AJ69:AK69"/>
    <mergeCell ref="AB74:AI74"/>
    <mergeCell ref="AB73:AI73"/>
    <mergeCell ref="AB72:AI72"/>
    <mergeCell ref="AB71:AI71"/>
    <mergeCell ref="AB70:AI70"/>
    <mergeCell ref="P69:W69"/>
    <mergeCell ref="AG41:AL41"/>
    <mergeCell ref="C39:H39"/>
    <mergeCell ref="AA41:AF41"/>
    <mergeCell ref="AA37:AF37"/>
    <mergeCell ref="I42:N42"/>
    <mergeCell ref="O40:T40"/>
    <mergeCell ref="O42:T42"/>
    <mergeCell ref="U42:Z42"/>
    <mergeCell ref="AA42:AF42"/>
    <mergeCell ref="I41:N41"/>
    <mergeCell ref="O41:T41"/>
    <mergeCell ref="U41:Z41"/>
    <mergeCell ref="AG42:AL42"/>
    <mergeCell ref="AA12:AF13"/>
    <mergeCell ref="AG12:AL13"/>
    <mergeCell ref="C40:H40"/>
    <mergeCell ref="C41:H41"/>
    <mergeCell ref="C42:H42"/>
    <mergeCell ref="AG39:AL39"/>
    <mergeCell ref="U40:Z40"/>
    <mergeCell ref="AA40:AF40"/>
    <mergeCell ref="AG40:AL40"/>
    <mergeCell ref="C5:G5"/>
    <mergeCell ref="C9:H10"/>
    <mergeCell ref="I9:N10"/>
    <mergeCell ref="O9:T10"/>
    <mergeCell ref="U9:Z10"/>
    <mergeCell ref="AA9:AF10"/>
    <mergeCell ref="AG9:AL10"/>
    <mergeCell ref="C12:H13"/>
    <mergeCell ref="I12:N13"/>
    <mergeCell ref="O12:T13"/>
    <mergeCell ref="U12:Z13"/>
    <mergeCell ref="I39:N39"/>
    <mergeCell ref="I40:N40"/>
    <mergeCell ref="O37:T37"/>
    <mergeCell ref="U37:Z37"/>
    <mergeCell ref="AG37:AL37"/>
    <mergeCell ref="O38:T38"/>
    <mergeCell ref="I37:N37"/>
    <mergeCell ref="I38:N38"/>
    <mergeCell ref="O39:T39"/>
    <mergeCell ref="U39:Z39"/>
    <mergeCell ref="AA39:AF39"/>
    <mergeCell ref="U38:Z38"/>
    <mergeCell ref="AA38:AF38"/>
    <mergeCell ref="AG38:AL38"/>
    <mergeCell ref="C38:H38"/>
    <mergeCell ref="L72:M72"/>
    <mergeCell ref="L73:M73"/>
    <mergeCell ref="L74:M74"/>
    <mergeCell ref="P71:W71"/>
    <mergeCell ref="P70:W70"/>
    <mergeCell ref="P74:W74"/>
    <mergeCell ref="P72:W72"/>
    <mergeCell ref="C124:AL124"/>
    <mergeCell ref="C120:AL120"/>
    <mergeCell ref="C112:AL112"/>
    <mergeCell ref="P73:W73"/>
    <mergeCell ref="B2:F2"/>
    <mergeCell ref="C109:AL109"/>
    <mergeCell ref="AB69:AI69"/>
    <mergeCell ref="C74:K74"/>
    <mergeCell ref="C73:K73"/>
    <mergeCell ref="C72:K72"/>
    <mergeCell ref="C71:K71"/>
    <mergeCell ref="X69:Y69"/>
    <mergeCell ref="X70:Y70"/>
    <mergeCell ref="X71:Y71"/>
    <mergeCell ref="X72:Y72"/>
    <mergeCell ref="X73:Y73"/>
    <mergeCell ref="X74:Y74"/>
    <mergeCell ref="L69:M69"/>
    <mergeCell ref="L70:M70"/>
    <mergeCell ref="L71:M71"/>
    <mergeCell ref="C118:AL118"/>
    <mergeCell ref="C121:AL121"/>
    <mergeCell ref="C115:AL115"/>
  </mergeCells>
  <conditionalFormatting sqref="F76:G76">
    <cfRule type="expression" dxfId="156" priority="133">
      <formula>AND($F$82&gt;100%)</formula>
    </cfRule>
  </conditionalFormatting>
  <conditionalFormatting sqref="N69:N74 Z69:Z74 AL69:AL74">
    <cfRule type="expression" dxfId="155" priority="134">
      <formula>AND(#REF!=TRUE,$H69="CLOSED",#REF!&gt;=WORKDAY($K69,11),#REF!&lt;=WORKDAY($K69,50))</formula>
    </cfRule>
    <cfRule type="expression" dxfId="154" priority="135">
      <formula>AND(#REF!=TRUE,$H69="CLOSED",#REF!&gt;=WORKDAY($K69,6),#REF!&lt;=WORKDAY($K69,10))</formula>
    </cfRule>
    <cfRule type="expression" dxfId="153" priority="136">
      <formula>AND(#REF!=TRUE,$H69="CLOSED",#REF!&gt;=WORKDAY($K69,1),#REF!&lt;=WORKDAY($K69,5))</formula>
    </cfRule>
    <cfRule type="expression" dxfId="152" priority="137">
      <formula>AND(#REF!=TRUE,$H69="CLOSED",#REF!&lt;=$K69)</formula>
    </cfRule>
  </conditionalFormatting>
  <conditionalFormatting sqref="N80:N81">
    <cfRule type="expression" dxfId="123" priority="37">
      <formula>AND(#REF!=TRUE,$H80="CLOSED",#REF!&gt;=WORKDAY($K80,11),#REF!&lt;=WORKDAY($K80,50))</formula>
    </cfRule>
    <cfRule type="expression" dxfId="122" priority="38">
      <formula>AND(#REF!=TRUE,$H80="CLOSED",#REF!&gt;=WORKDAY($K80,6),#REF!&lt;=WORKDAY($K80,10))</formula>
    </cfRule>
    <cfRule type="expression" dxfId="121" priority="39">
      <formula>AND(#REF!=TRUE,$H80="CLOSED",#REF!&gt;=WORKDAY($K80,1),#REF!&lt;=WORKDAY($K80,5))</formula>
    </cfRule>
    <cfRule type="expression" dxfId="120" priority="40">
      <formula>AND(#REF!=TRUE,$H80="CLOSED",#REF!&lt;=$K80)</formula>
    </cfRule>
  </conditionalFormatting>
  <conditionalFormatting sqref="N83:N84">
    <cfRule type="expression" dxfId="119" priority="33">
      <formula>AND(#REF!=TRUE,$H83="CLOSED",#REF!&gt;=WORKDAY($K83,11),#REF!&lt;=WORKDAY($K83,50))</formula>
    </cfRule>
    <cfRule type="expression" dxfId="118" priority="34">
      <formula>AND(#REF!=TRUE,$H83="CLOSED",#REF!&gt;=WORKDAY($K83,6),#REF!&lt;=WORKDAY($K83,10))</formula>
    </cfRule>
    <cfRule type="expression" dxfId="117" priority="35">
      <formula>AND(#REF!=TRUE,$H83="CLOSED",#REF!&gt;=WORKDAY($K83,1),#REF!&lt;=WORKDAY($K83,5))</formula>
    </cfRule>
    <cfRule type="expression" dxfId="116" priority="36">
      <formula>AND(#REF!=TRUE,$H83="CLOSED",#REF!&lt;=$K83)</formula>
    </cfRule>
  </conditionalFormatting>
  <conditionalFormatting sqref="N86:N87">
    <cfRule type="expression" dxfId="115" priority="29">
      <formula>AND(#REF!=TRUE,$H86="CLOSED",#REF!&gt;=WORKDAY($K86,11),#REF!&lt;=WORKDAY($K86,50))</formula>
    </cfRule>
    <cfRule type="expression" dxfId="114" priority="30">
      <formula>AND(#REF!=TRUE,$H86="CLOSED",#REF!&gt;=WORKDAY($K86,6),#REF!&lt;=WORKDAY($K86,10))</formula>
    </cfRule>
    <cfRule type="expression" dxfId="113" priority="31">
      <formula>AND(#REF!=TRUE,$H86="CLOSED",#REF!&gt;=WORKDAY($K86,1),#REF!&lt;=WORKDAY($K86,5))</formula>
    </cfRule>
    <cfRule type="expression" dxfId="112" priority="32">
      <formula>AND(#REF!=TRUE,$H86="CLOSED",#REF!&lt;=$K86)</formula>
    </cfRule>
  </conditionalFormatting>
  <conditionalFormatting sqref="Z80:Z81">
    <cfRule type="expression" dxfId="79" priority="25">
      <formula>AND(#REF!=TRUE,$H80="CLOSED",#REF!&gt;=WORKDAY($K80,11),#REF!&lt;=WORKDAY($K80,50))</formula>
    </cfRule>
    <cfRule type="expression" dxfId="78" priority="26">
      <formula>AND(#REF!=TRUE,$H80="CLOSED",#REF!&gt;=WORKDAY($K80,6),#REF!&lt;=WORKDAY($K80,10))</formula>
    </cfRule>
    <cfRule type="expression" dxfId="77" priority="27">
      <formula>AND(#REF!=TRUE,$H80="CLOSED",#REF!&gt;=WORKDAY($K80,1),#REF!&lt;=WORKDAY($K80,5))</formula>
    </cfRule>
    <cfRule type="expression" dxfId="76" priority="28">
      <formula>AND(#REF!=TRUE,$H80="CLOSED",#REF!&lt;=$K80)</formula>
    </cfRule>
  </conditionalFormatting>
  <conditionalFormatting sqref="Z83:Z84">
    <cfRule type="expression" dxfId="75" priority="21">
      <formula>AND(#REF!=TRUE,$H83="CLOSED",#REF!&gt;=WORKDAY($K83,11),#REF!&lt;=WORKDAY($K83,50))</formula>
    </cfRule>
    <cfRule type="expression" dxfId="74" priority="22">
      <formula>AND(#REF!=TRUE,$H83="CLOSED",#REF!&gt;=WORKDAY($K83,6),#REF!&lt;=WORKDAY($K83,10))</formula>
    </cfRule>
    <cfRule type="expression" dxfId="73" priority="23">
      <formula>AND(#REF!=TRUE,$H83="CLOSED",#REF!&gt;=WORKDAY($K83,1),#REF!&lt;=WORKDAY($K83,5))</formula>
    </cfRule>
    <cfRule type="expression" dxfId="72" priority="24">
      <formula>AND(#REF!=TRUE,$H83="CLOSED",#REF!&lt;=$K83)</formula>
    </cfRule>
  </conditionalFormatting>
  <conditionalFormatting sqref="Z86:Z87">
    <cfRule type="expression" dxfId="71" priority="17">
      <formula>AND(#REF!=TRUE,$H86="CLOSED",#REF!&gt;=WORKDAY($K86,11),#REF!&lt;=WORKDAY($K86,50))</formula>
    </cfRule>
    <cfRule type="expression" dxfId="70" priority="18">
      <formula>AND(#REF!=TRUE,$H86="CLOSED",#REF!&gt;=WORKDAY($K86,6),#REF!&lt;=WORKDAY($K86,10))</formula>
    </cfRule>
    <cfRule type="expression" dxfId="69" priority="19">
      <formula>AND(#REF!=TRUE,$H86="CLOSED",#REF!&gt;=WORKDAY($K86,1),#REF!&lt;=WORKDAY($K86,5))</formula>
    </cfRule>
    <cfRule type="expression" dxfId="68" priority="20">
      <formula>AND(#REF!=TRUE,$H86="CLOSED",#REF!&lt;=$K86)</formula>
    </cfRule>
  </conditionalFormatting>
  <conditionalFormatting sqref="AL80">
    <cfRule type="expression" dxfId="31" priority="13">
      <formula>AND(#REF!=TRUE,$H80="CLOSED",#REF!&gt;=WORKDAY($K80,11),#REF!&lt;=WORKDAY($K80,50))</formula>
    </cfRule>
    <cfRule type="expression" dxfId="30" priority="14">
      <formula>AND(#REF!=TRUE,$H80="CLOSED",#REF!&gt;=WORKDAY($K80,6),#REF!&lt;=WORKDAY($K80,10))</formula>
    </cfRule>
    <cfRule type="expression" dxfId="29" priority="15">
      <formula>AND(#REF!=TRUE,$H80="CLOSED",#REF!&gt;=WORKDAY($K80,1),#REF!&lt;=WORKDAY($K80,5))</formula>
    </cfRule>
    <cfRule type="expression" dxfId="28" priority="16">
      <formula>AND(#REF!=TRUE,$H80="CLOSED",#REF!&lt;=$K80)</formula>
    </cfRule>
  </conditionalFormatting>
  <conditionalFormatting sqref="AL83">
    <cfRule type="expression" dxfId="27" priority="9">
      <formula>AND(#REF!=TRUE,$H83="CLOSED",#REF!&gt;=WORKDAY($K83,11),#REF!&lt;=WORKDAY($K83,50))</formula>
    </cfRule>
    <cfRule type="expression" dxfId="26" priority="10">
      <formula>AND(#REF!=TRUE,$H83="CLOSED",#REF!&gt;=WORKDAY($K83,6),#REF!&lt;=WORKDAY($K83,10))</formula>
    </cfRule>
    <cfRule type="expression" dxfId="25" priority="11">
      <formula>AND(#REF!=TRUE,$H83="CLOSED",#REF!&gt;=WORKDAY($K83,1),#REF!&lt;=WORKDAY($K83,5))</formula>
    </cfRule>
    <cfRule type="expression" dxfId="24" priority="12">
      <formula>AND(#REF!=TRUE,$H83="CLOSED",#REF!&lt;=$K83)</formula>
    </cfRule>
  </conditionalFormatting>
  <conditionalFormatting sqref="AL86">
    <cfRule type="expression" dxfId="23" priority="5">
      <formula>AND(#REF!=TRUE,$H86="CLOSED",#REF!&gt;=WORKDAY($K86,11),#REF!&lt;=WORKDAY($K86,50))</formula>
    </cfRule>
    <cfRule type="expression" dxfId="22" priority="6">
      <formula>AND(#REF!=TRUE,$H86="CLOSED",#REF!&gt;=WORKDAY($K86,6),#REF!&lt;=WORKDAY($K86,10))</formula>
    </cfRule>
    <cfRule type="expression" dxfId="21" priority="7">
      <formula>AND(#REF!=TRUE,$H86="CLOSED",#REF!&gt;=WORKDAY($K86,1),#REF!&lt;=WORKDAY($K86,5))</formula>
    </cfRule>
    <cfRule type="expression" dxfId="20" priority="8">
      <formula>AND(#REF!=TRUE,$H86="CLOSED",#REF!&lt;=$K86)</formula>
    </cfRule>
  </conditionalFormatting>
  <dataValidations count="1">
    <dataValidation type="list" allowBlank="1" showInputMessage="1" showErrorMessage="1" sqref="I22:N23" xr:uid="{73BF4885-F1E1-3B49-83C3-320FE2A1E45B}">
      <formula1>"Full-Service, Creative Boutique, Branding, PR, Media, Digital Marketing, Social Media, Influencer, Events"</formula1>
    </dataValidation>
  </dataValidations>
  <printOptions horizontalCentered="1" verticalCentered="1"/>
  <pageMargins left="0.39370078740157483" right="0.39370078740157483" top="0.39370078740157483" bottom="0.59055118110236227" header="0" footer="0"/>
  <pageSetup paperSize="8" scale="73" orientation="landscape" r:id="rId1"/>
  <headerFooter>
    <oddFooter>&amp;C&amp;F   -   &amp;P/&amp;R&amp;A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952127-31C8-EE4C-A4EC-9325007C9C26}">
          <x14:formula1>
            <xm:f>'Drop-down'!$F$4:$F$9</xm:f>
          </x14:formula1>
          <xm:sqref>I19:N20</xm:sqref>
        </x14:dataValidation>
        <x14:dataValidation type="list" allowBlank="1" showInputMessage="1" showErrorMessage="1" xr:uid="{211A5A2D-06BD-C34B-81C9-14A851A91A4D}">
          <x14:formula1>
            <xm:f>'Drop-down'!$J$4:$J$9</xm:f>
          </x14:formula1>
          <xm:sqref>U19:Z20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94D0-D799-4E5B-8664-4833CA9802D4}">
  <dimension ref="A1:E25"/>
  <sheetViews>
    <sheetView topLeftCell="B1" zoomScale="130" zoomScaleNormal="130" workbookViewId="0">
      <selection activeCell="E10" sqref="E10"/>
    </sheetView>
  </sheetViews>
  <sheetFormatPr baseColWidth="10" defaultColWidth="8.83203125" defaultRowHeight="15"/>
  <cols>
    <col min="1" max="1" width="68.5" bestFit="1" customWidth="1"/>
    <col min="5" max="5" width="28.1640625" bestFit="1" customWidth="1"/>
  </cols>
  <sheetData>
    <row r="1" spans="1:5">
      <c r="A1" s="50" t="s">
        <v>500</v>
      </c>
      <c r="C1" s="53">
        <v>0.05</v>
      </c>
      <c r="E1" t="s">
        <v>550</v>
      </c>
    </row>
    <row r="2" spans="1:5">
      <c r="A2" s="50" t="s">
        <v>501</v>
      </c>
      <c r="C2" s="53">
        <v>0.1</v>
      </c>
      <c r="E2" s="64" t="s">
        <v>218</v>
      </c>
    </row>
    <row r="3" spans="1:5">
      <c r="A3" s="50" t="s">
        <v>502</v>
      </c>
      <c r="C3" s="53">
        <v>0.15</v>
      </c>
      <c r="E3" s="64" t="s">
        <v>555</v>
      </c>
    </row>
    <row r="4" spans="1:5">
      <c r="A4" s="50" t="s">
        <v>503</v>
      </c>
      <c r="C4" s="53">
        <v>0.2</v>
      </c>
      <c r="E4" t="s">
        <v>549</v>
      </c>
    </row>
    <row r="5" spans="1:5">
      <c r="C5" s="53">
        <v>0.25</v>
      </c>
      <c r="E5" t="s">
        <v>553</v>
      </c>
    </row>
    <row r="6" spans="1:5">
      <c r="C6" s="53">
        <v>0.3</v>
      </c>
      <c r="E6" t="s">
        <v>552</v>
      </c>
    </row>
    <row r="7" spans="1:5">
      <c r="C7" s="53">
        <v>0.35</v>
      </c>
      <c r="E7" t="s">
        <v>7</v>
      </c>
    </row>
    <row r="8" spans="1:5">
      <c r="C8" s="53">
        <v>0.4</v>
      </c>
      <c r="E8" t="s">
        <v>551</v>
      </c>
    </row>
    <row r="9" spans="1:5">
      <c r="C9" s="53">
        <v>0.45</v>
      </c>
      <c r="E9" s="64" t="s">
        <v>558</v>
      </c>
    </row>
    <row r="10" spans="1:5">
      <c r="C10" s="53">
        <v>0.5</v>
      </c>
    </row>
    <row r="11" spans="1:5">
      <c r="C11" s="53">
        <v>0.55000000000000004</v>
      </c>
      <c r="E11" s="63"/>
    </row>
    <row r="12" spans="1:5">
      <c r="C12" s="53">
        <v>0.6</v>
      </c>
    </row>
    <row r="13" spans="1:5">
      <c r="C13" s="53">
        <v>0.65</v>
      </c>
    </row>
    <row r="14" spans="1:5">
      <c r="C14" s="53">
        <v>0.7</v>
      </c>
    </row>
    <row r="15" spans="1:5">
      <c r="C15" s="53">
        <v>0.75</v>
      </c>
    </row>
    <row r="16" spans="1:5">
      <c r="C16" s="53">
        <v>0.8</v>
      </c>
    </row>
    <row r="17" spans="3:3">
      <c r="C17" s="53">
        <v>0.85</v>
      </c>
    </row>
    <row r="18" spans="3:3">
      <c r="C18" s="53">
        <v>0.9</v>
      </c>
    </row>
    <row r="19" spans="3:3">
      <c r="C19" s="53">
        <v>0.95</v>
      </c>
    </row>
    <row r="20" spans="3:3">
      <c r="C20" s="53">
        <v>1</v>
      </c>
    </row>
    <row r="21" spans="3:3">
      <c r="C21" s="53"/>
    </row>
    <row r="22" spans="3:3">
      <c r="C22" s="53"/>
    </row>
    <row r="23" spans="3:3">
      <c r="C23" s="53"/>
    </row>
    <row r="24" spans="3:3">
      <c r="C24" s="53"/>
    </row>
    <row r="25" spans="3:3">
      <c r="C25" s="53"/>
    </row>
  </sheetData>
  <sortState xmlns:xlrd2="http://schemas.microsoft.com/office/spreadsheetml/2017/richdata2" ref="E1:E8">
    <sortCondition ref="E1:E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9A51-84E1-664F-8A13-D9E82424FE8E}">
  <dimension ref="B2:J197"/>
  <sheetViews>
    <sheetView workbookViewId="0">
      <selection activeCell="F23" sqref="F23"/>
    </sheetView>
  </sheetViews>
  <sheetFormatPr baseColWidth="10" defaultColWidth="8.5" defaultRowHeight="13"/>
  <cols>
    <col min="1" max="1" width="2.5" style="8" customWidth="1"/>
    <col min="2" max="2" width="31.5" style="8" bestFit="1" customWidth="1"/>
    <col min="3" max="3" width="2.5" style="8" customWidth="1"/>
    <col min="4" max="4" width="31.5" style="8" customWidth="1"/>
    <col min="5" max="5" width="2.5" style="8" customWidth="1"/>
    <col min="6" max="6" width="28" style="8" bestFit="1" customWidth="1"/>
    <col min="7" max="7" width="2.5" style="8" customWidth="1"/>
    <col min="8" max="8" width="28" style="8" bestFit="1" customWidth="1"/>
    <col min="9" max="9" width="2.5" style="8" customWidth="1"/>
    <col min="10" max="10" width="28" style="8" bestFit="1" customWidth="1"/>
    <col min="11" max="16384" width="8.5" style="8"/>
  </cols>
  <sheetData>
    <row r="2" spans="2:10">
      <c r="B2" s="7">
        <f>COUNTA(B4:B197)</f>
        <v>163</v>
      </c>
      <c r="D2" s="7">
        <f>COUNTA(D4:D197)</f>
        <v>194</v>
      </c>
      <c r="F2" s="7">
        <f>COUNTA(F4:F197)</f>
        <v>6</v>
      </c>
      <c r="H2" s="7">
        <f>COUNTA(H4:H197)</f>
        <v>7</v>
      </c>
      <c r="J2" s="7">
        <f>COUNTA(J4:J197)</f>
        <v>6</v>
      </c>
    </row>
    <row r="3" spans="2:10" ht="15">
      <c r="B3" s="9" t="s">
        <v>11</v>
      </c>
      <c r="D3" s="40" t="s">
        <v>180</v>
      </c>
      <c r="F3" s="40" t="s">
        <v>221</v>
      </c>
      <c r="H3" s="40" t="s">
        <v>562</v>
      </c>
      <c r="J3" s="40" t="s">
        <v>562</v>
      </c>
    </row>
    <row r="4" spans="2:10">
      <c r="B4" s="10" t="s">
        <v>12</v>
      </c>
      <c r="D4" s="41" t="s">
        <v>222</v>
      </c>
      <c r="F4" s="41" t="s">
        <v>223</v>
      </c>
      <c r="H4" s="41" t="s">
        <v>583</v>
      </c>
      <c r="J4" s="41" t="s">
        <v>584</v>
      </c>
    </row>
    <row r="5" spans="2:10">
      <c r="B5" s="10" t="s">
        <v>13</v>
      </c>
      <c r="D5" s="41" t="s">
        <v>224</v>
      </c>
      <c r="F5" s="41" t="s">
        <v>225</v>
      </c>
      <c r="H5" s="41" t="s">
        <v>585</v>
      </c>
      <c r="J5" s="41" t="s">
        <v>586</v>
      </c>
    </row>
    <row r="6" spans="2:10">
      <c r="B6" s="10" t="s">
        <v>14</v>
      </c>
      <c r="D6" s="41" t="s">
        <v>226</v>
      </c>
      <c r="F6" s="41" t="s">
        <v>227</v>
      </c>
      <c r="H6" s="41" t="s">
        <v>587</v>
      </c>
      <c r="J6" s="41" t="s">
        <v>588</v>
      </c>
    </row>
    <row r="7" spans="2:10">
      <c r="B7" s="10" t="s">
        <v>15</v>
      </c>
      <c r="D7" s="41" t="s">
        <v>228</v>
      </c>
      <c r="F7" s="41" t="s">
        <v>229</v>
      </c>
      <c r="H7" s="41" t="s">
        <v>589</v>
      </c>
      <c r="J7" s="41" t="s">
        <v>590</v>
      </c>
    </row>
    <row r="8" spans="2:10">
      <c r="B8" s="10" t="s">
        <v>16</v>
      </c>
      <c r="D8" s="41" t="s">
        <v>230</v>
      </c>
      <c r="F8" s="41" t="s">
        <v>231</v>
      </c>
      <c r="H8" s="41" t="s">
        <v>591</v>
      </c>
      <c r="J8" s="41" t="s">
        <v>592</v>
      </c>
    </row>
    <row r="9" spans="2:10">
      <c r="B9" s="10" t="s">
        <v>17</v>
      </c>
      <c r="D9" s="41" t="s">
        <v>232</v>
      </c>
      <c r="F9" s="41" t="s">
        <v>233</v>
      </c>
      <c r="H9" s="41" t="s">
        <v>593</v>
      </c>
      <c r="J9" s="41" t="s">
        <v>594</v>
      </c>
    </row>
    <row r="10" spans="2:10">
      <c r="B10" s="10" t="s">
        <v>18</v>
      </c>
      <c r="D10" s="41" t="s">
        <v>234</v>
      </c>
      <c r="F10" s="41"/>
      <c r="H10" s="41" t="s">
        <v>595</v>
      </c>
      <c r="J10" s="41"/>
    </row>
    <row r="11" spans="2:10">
      <c r="B11" s="10" t="s">
        <v>19</v>
      </c>
      <c r="D11" s="41" t="s">
        <v>235</v>
      </c>
      <c r="F11" s="41"/>
      <c r="H11" s="41"/>
      <c r="J11" s="41"/>
    </row>
    <row r="12" spans="2:10">
      <c r="B12" s="10" t="s">
        <v>20</v>
      </c>
      <c r="D12" s="41" t="s">
        <v>236</v>
      </c>
      <c r="F12" s="41"/>
      <c r="H12" s="41"/>
      <c r="J12" s="41"/>
    </row>
    <row r="13" spans="2:10">
      <c r="B13" s="10" t="s">
        <v>21</v>
      </c>
      <c r="D13" s="41" t="s">
        <v>237</v>
      </c>
      <c r="F13" s="41"/>
      <c r="H13" s="41"/>
      <c r="J13" s="41"/>
    </row>
    <row r="14" spans="2:10">
      <c r="B14" s="10" t="s">
        <v>22</v>
      </c>
      <c r="D14" s="41" t="s">
        <v>238</v>
      </c>
      <c r="F14" s="41"/>
      <c r="H14" s="41"/>
      <c r="J14" s="41"/>
    </row>
    <row r="15" spans="2:10">
      <c r="B15" s="10" t="s">
        <v>23</v>
      </c>
      <c r="D15" s="41" t="s">
        <v>239</v>
      </c>
      <c r="F15" s="41"/>
      <c r="H15" s="41"/>
      <c r="J15" s="41"/>
    </row>
    <row r="16" spans="2:10">
      <c r="B16" s="10" t="s">
        <v>24</v>
      </c>
      <c r="D16" s="41" t="s">
        <v>240</v>
      </c>
      <c r="F16" s="41"/>
      <c r="H16" s="41"/>
      <c r="J16" s="41"/>
    </row>
    <row r="17" spans="2:10">
      <c r="B17" s="10" t="s">
        <v>12</v>
      </c>
      <c r="D17" s="41" t="s">
        <v>241</v>
      </c>
      <c r="F17" s="41"/>
      <c r="H17" s="41"/>
      <c r="J17" s="41"/>
    </row>
    <row r="18" spans="2:10">
      <c r="B18" s="10" t="s">
        <v>25</v>
      </c>
      <c r="D18" s="41" t="s">
        <v>242</v>
      </c>
      <c r="F18" s="41"/>
      <c r="H18" s="41"/>
      <c r="J18" s="41"/>
    </row>
    <row r="19" spans="2:10">
      <c r="B19" s="10" t="s">
        <v>26</v>
      </c>
      <c r="D19" s="41" t="s">
        <v>243</v>
      </c>
      <c r="F19" s="41"/>
      <c r="H19" s="41"/>
      <c r="J19" s="41"/>
    </row>
    <row r="20" spans="2:10">
      <c r="B20" s="10" t="s">
        <v>27</v>
      </c>
      <c r="D20" s="41" t="s">
        <v>244</v>
      </c>
      <c r="F20" s="41"/>
      <c r="H20" s="41"/>
      <c r="J20" s="41"/>
    </row>
    <row r="21" spans="2:10">
      <c r="B21" s="10" t="s">
        <v>28</v>
      </c>
      <c r="D21" s="41" t="s">
        <v>245</v>
      </c>
      <c r="F21" s="41"/>
      <c r="H21" s="41"/>
      <c r="J21" s="41"/>
    </row>
    <row r="22" spans="2:10">
      <c r="B22" s="10" t="s">
        <v>29</v>
      </c>
      <c r="D22" s="41" t="s">
        <v>246</v>
      </c>
      <c r="F22" s="41"/>
      <c r="H22" s="41"/>
      <c r="J22" s="41"/>
    </row>
    <row r="23" spans="2:10">
      <c r="B23" s="10" t="s">
        <v>30</v>
      </c>
      <c r="D23" s="41" t="s">
        <v>247</v>
      </c>
      <c r="F23" s="41"/>
      <c r="H23" s="41"/>
      <c r="J23" s="41"/>
    </row>
    <row r="24" spans="2:10">
      <c r="B24" s="10" t="s">
        <v>31</v>
      </c>
      <c r="D24" s="41" t="s">
        <v>248</v>
      </c>
      <c r="F24" s="41"/>
      <c r="H24" s="41"/>
      <c r="J24" s="41"/>
    </row>
    <row r="25" spans="2:10">
      <c r="B25" s="10" t="s">
        <v>32</v>
      </c>
      <c r="D25" s="41" t="s">
        <v>249</v>
      </c>
      <c r="F25" s="41"/>
      <c r="H25" s="41"/>
      <c r="J25" s="41"/>
    </row>
    <row r="26" spans="2:10">
      <c r="B26" s="10" t="s">
        <v>33</v>
      </c>
      <c r="D26" s="41" t="s">
        <v>250</v>
      </c>
      <c r="F26" s="41"/>
      <c r="H26" s="41"/>
      <c r="J26" s="41"/>
    </row>
    <row r="27" spans="2:10">
      <c r="B27" s="10" t="s">
        <v>34</v>
      </c>
      <c r="D27" s="41" t="s">
        <v>251</v>
      </c>
      <c r="F27" s="41"/>
      <c r="H27" s="41"/>
      <c r="J27" s="41"/>
    </row>
    <row r="28" spans="2:10">
      <c r="B28" s="10" t="s">
        <v>35</v>
      </c>
      <c r="D28" s="41" t="s">
        <v>252</v>
      </c>
      <c r="F28" s="41"/>
      <c r="H28" s="41"/>
      <c r="J28" s="41"/>
    </row>
    <row r="29" spans="2:10">
      <c r="B29" s="10" t="s">
        <v>36</v>
      </c>
      <c r="D29" s="41" t="s">
        <v>253</v>
      </c>
      <c r="F29" s="41"/>
      <c r="H29" s="41"/>
      <c r="J29" s="41"/>
    </row>
    <row r="30" spans="2:10">
      <c r="B30" s="10" t="s">
        <v>37</v>
      </c>
      <c r="D30" s="41" t="s">
        <v>254</v>
      </c>
      <c r="F30" s="41"/>
      <c r="H30" s="41"/>
      <c r="J30" s="41"/>
    </row>
    <row r="31" spans="2:10">
      <c r="B31" s="10" t="s">
        <v>13</v>
      </c>
      <c r="D31" s="41" t="s">
        <v>255</v>
      </c>
      <c r="F31" s="41"/>
      <c r="H31" s="41"/>
      <c r="J31" s="41"/>
    </row>
    <row r="32" spans="2:10">
      <c r="B32" s="10" t="s">
        <v>38</v>
      </c>
      <c r="D32" s="41" t="s">
        <v>256</v>
      </c>
      <c r="F32" s="41"/>
      <c r="H32" s="41"/>
      <c r="J32" s="41"/>
    </row>
    <row r="33" spans="2:10">
      <c r="B33" s="10" t="s">
        <v>39</v>
      </c>
      <c r="D33" s="41" t="s">
        <v>257</v>
      </c>
      <c r="F33" s="41"/>
      <c r="H33" s="41"/>
      <c r="J33" s="41"/>
    </row>
    <row r="34" spans="2:10">
      <c r="B34" s="10" t="s">
        <v>40</v>
      </c>
      <c r="D34" s="41" t="s">
        <v>258</v>
      </c>
      <c r="F34" s="41"/>
      <c r="H34" s="41"/>
      <c r="J34" s="41"/>
    </row>
    <row r="35" spans="2:10">
      <c r="B35" s="10" t="s">
        <v>41</v>
      </c>
      <c r="D35" s="41" t="s">
        <v>259</v>
      </c>
      <c r="F35" s="41"/>
      <c r="H35" s="41"/>
      <c r="J35" s="41"/>
    </row>
    <row r="36" spans="2:10">
      <c r="B36" s="10" t="s">
        <v>42</v>
      </c>
      <c r="D36" s="41" t="s">
        <v>260</v>
      </c>
      <c r="F36" s="41"/>
      <c r="H36" s="41"/>
      <c r="J36" s="41"/>
    </row>
    <row r="37" spans="2:10">
      <c r="B37" s="10" t="s">
        <v>43</v>
      </c>
      <c r="D37" s="41" t="s">
        <v>261</v>
      </c>
      <c r="F37" s="41"/>
      <c r="H37" s="41"/>
      <c r="J37" s="41"/>
    </row>
    <row r="38" spans="2:10">
      <c r="B38" s="10" t="s">
        <v>44</v>
      </c>
      <c r="D38" s="41" t="s">
        <v>262</v>
      </c>
      <c r="F38" s="41"/>
      <c r="H38" s="41"/>
      <c r="J38" s="41"/>
    </row>
    <row r="39" spans="2:10">
      <c r="B39" s="10" t="s">
        <v>45</v>
      </c>
      <c r="D39" s="41" t="s">
        <v>263</v>
      </c>
      <c r="F39" s="41"/>
      <c r="H39" s="41"/>
      <c r="J39" s="41"/>
    </row>
    <row r="40" spans="2:10">
      <c r="B40" s="10" t="s">
        <v>46</v>
      </c>
      <c r="D40" s="41" t="s">
        <v>264</v>
      </c>
      <c r="F40" s="41"/>
      <c r="H40" s="41"/>
      <c r="J40" s="41"/>
    </row>
    <row r="41" spans="2:10">
      <c r="B41" s="10" t="s">
        <v>47</v>
      </c>
      <c r="D41" s="41" t="s">
        <v>265</v>
      </c>
      <c r="F41" s="41"/>
      <c r="H41" s="41"/>
      <c r="J41" s="41"/>
    </row>
    <row r="42" spans="2:10">
      <c r="B42" s="10" t="s">
        <v>48</v>
      </c>
      <c r="D42" s="41" t="s">
        <v>266</v>
      </c>
      <c r="F42" s="41"/>
      <c r="H42" s="41"/>
      <c r="J42" s="41"/>
    </row>
    <row r="43" spans="2:10">
      <c r="B43" s="10" t="s">
        <v>49</v>
      </c>
      <c r="D43" s="41" t="s">
        <v>267</v>
      </c>
      <c r="F43" s="41"/>
      <c r="H43" s="41"/>
      <c r="J43" s="41"/>
    </row>
    <row r="44" spans="2:10">
      <c r="B44" s="10" t="s">
        <v>50</v>
      </c>
      <c r="D44" s="41" t="s">
        <v>268</v>
      </c>
      <c r="F44" s="41"/>
      <c r="H44" s="41"/>
      <c r="J44" s="41"/>
    </row>
    <row r="45" spans="2:10">
      <c r="B45" s="10" t="s">
        <v>51</v>
      </c>
      <c r="D45" s="41" t="s">
        <v>269</v>
      </c>
      <c r="F45" s="41"/>
      <c r="H45" s="41"/>
      <c r="J45" s="41"/>
    </row>
    <row r="46" spans="2:10">
      <c r="B46" s="10" t="s">
        <v>52</v>
      </c>
      <c r="D46" s="41" t="s">
        <v>270</v>
      </c>
      <c r="F46" s="41"/>
      <c r="H46" s="41"/>
      <c r="J46" s="41"/>
    </row>
    <row r="47" spans="2:10">
      <c r="B47" s="10" t="s">
        <v>53</v>
      </c>
      <c r="D47" s="41" t="s">
        <v>271</v>
      </c>
      <c r="F47" s="41"/>
      <c r="H47" s="41"/>
      <c r="J47" s="41"/>
    </row>
    <row r="48" spans="2:10">
      <c r="B48" s="10" t="s">
        <v>54</v>
      </c>
      <c r="D48" s="41" t="s">
        <v>272</v>
      </c>
      <c r="F48" s="41"/>
      <c r="H48" s="41"/>
      <c r="J48" s="41"/>
    </row>
    <row r="49" spans="2:10">
      <c r="B49" s="10" t="s">
        <v>55</v>
      </c>
      <c r="D49" s="41" t="s">
        <v>273</v>
      </c>
      <c r="F49" s="41"/>
      <c r="H49" s="41"/>
      <c r="J49" s="41"/>
    </row>
    <row r="50" spans="2:10">
      <c r="B50" s="10" t="s">
        <v>56</v>
      </c>
      <c r="D50" s="41" t="s">
        <v>274</v>
      </c>
      <c r="F50" s="41"/>
      <c r="H50" s="41"/>
      <c r="J50" s="41"/>
    </row>
    <row r="51" spans="2:10">
      <c r="B51" s="10" t="s">
        <v>57</v>
      </c>
      <c r="D51" s="41" t="s">
        <v>275</v>
      </c>
      <c r="F51" s="41"/>
      <c r="H51" s="41"/>
      <c r="J51" s="41"/>
    </row>
    <row r="52" spans="2:10">
      <c r="B52" s="10" t="s">
        <v>58</v>
      </c>
      <c r="D52" s="41" t="s">
        <v>276</v>
      </c>
      <c r="F52" s="41"/>
      <c r="H52" s="41"/>
      <c r="J52" s="41"/>
    </row>
    <row r="53" spans="2:10">
      <c r="B53" s="10" t="s">
        <v>59</v>
      </c>
      <c r="D53" s="41" t="s">
        <v>277</v>
      </c>
      <c r="F53" s="41"/>
      <c r="H53" s="41"/>
      <c r="J53" s="41"/>
    </row>
    <row r="54" spans="2:10">
      <c r="B54" s="10" t="s">
        <v>60</v>
      </c>
      <c r="D54" s="41" t="s">
        <v>278</v>
      </c>
      <c r="F54" s="41"/>
      <c r="H54" s="41"/>
      <c r="J54" s="41"/>
    </row>
    <row r="55" spans="2:10">
      <c r="B55" s="10" t="s">
        <v>61</v>
      </c>
      <c r="D55" s="41" t="s">
        <v>279</v>
      </c>
      <c r="F55" s="41"/>
      <c r="H55" s="41"/>
      <c r="J55" s="41"/>
    </row>
    <row r="56" spans="2:10">
      <c r="B56" s="10" t="s">
        <v>62</v>
      </c>
      <c r="D56" s="41" t="s">
        <v>280</v>
      </c>
      <c r="F56" s="41"/>
      <c r="H56" s="41"/>
      <c r="J56" s="41"/>
    </row>
    <row r="57" spans="2:10">
      <c r="B57" s="10" t="s">
        <v>63</v>
      </c>
      <c r="D57" s="41" t="s">
        <v>281</v>
      </c>
      <c r="F57" s="41"/>
      <c r="H57" s="41"/>
      <c r="J57" s="41"/>
    </row>
    <row r="58" spans="2:10">
      <c r="B58" s="10" t="s">
        <v>64</v>
      </c>
      <c r="D58" s="41" t="s">
        <v>282</v>
      </c>
      <c r="F58" s="41"/>
      <c r="H58" s="41"/>
      <c r="J58" s="41"/>
    </row>
    <row r="59" spans="2:10">
      <c r="B59" s="10" t="s">
        <v>14</v>
      </c>
      <c r="D59" s="41" t="s">
        <v>283</v>
      </c>
      <c r="F59" s="41"/>
      <c r="H59" s="41"/>
      <c r="J59" s="41"/>
    </row>
    <row r="60" spans="2:10">
      <c r="B60" s="10" t="s">
        <v>65</v>
      </c>
      <c r="D60" s="41" t="s">
        <v>284</v>
      </c>
      <c r="F60" s="41"/>
      <c r="H60" s="41"/>
      <c r="J60" s="41"/>
    </row>
    <row r="61" spans="2:10">
      <c r="B61" s="10" t="s">
        <v>66</v>
      </c>
      <c r="D61" s="41" t="s">
        <v>285</v>
      </c>
      <c r="F61" s="41"/>
      <c r="H61" s="41"/>
      <c r="J61" s="41"/>
    </row>
    <row r="62" spans="2:10">
      <c r="B62" s="10" t="s">
        <v>67</v>
      </c>
      <c r="D62" s="41" t="s">
        <v>286</v>
      </c>
      <c r="F62" s="41"/>
      <c r="H62" s="41"/>
      <c r="J62" s="41"/>
    </row>
    <row r="63" spans="2:10">
      <c r="B63" s="10" t="s">
        <v>68</v>
      </c>
      <c r="D63" s="41" t="s">
        <v>287</v>
      </c>
      <c r="F63" s="41"/>
      <c r="H63" s="41"/>
      <c r="J63" s="41"/>
    </row>
    <row r="64" spans="2:10">
      <c r="B64" s="10" t="s">
        <v>69</v>
      </c>
      <c r="D64" s="41" t="s">
        <v>288</v>
      </c>
      <c r="F64" s="41"/>
      <c r="H64" s="41"/>
      <c r="J64" s="41"/>
    </row>
    <row r="65" spans="2:10">
      <c r="B65" s="10" t="s">
        <v>70</v>
      </c>
      <c r="D65" s="41" t="s">
        <v>289</v>
      </c>
      <c r="F65" s="41"/>
      <c r="H65" s="41"/>
      <c r="J65" s="41"/>
    </row>
    <row r="66" spans="2:10">
      <c r="B66" s="10" t="s">
        <v>71</v>
      </c>
      <c r="D66" s="41" t="s">
        <v>290</v>
      </c>
      <c r="F66" s="41"/>
      <c r="H66" s="41"/>
      <c r="J66" s="41"/>
    </row>
    <row r="67" spans="2:10">
      <c r="B67" s="10" t="s">
        <v>72</v>
      </c>
      <c r="D67" s="41" t="s">
        <v>291</v>
      </c>
      <c r="F67" s="41"/>
      <c r="H67" s="41"/>
      <c r="J67" s="41"/>
    </row>
    <row r="68" spans="2:10">
      <c r="B68" s="10" t="s">
        <v>73</v>
      </c>
      <c r="D68" s="41" t="s">
        <v>292</v>
      </c>
      <c r="F68" s="41"/>
      <c r="H68" s="41"/>
      <c r="J68" s="41"/>
    </row>
    <row r="69" spans="2:10">
      <c r="B69" s="10" t="s">
        <v>74</v>
      </c>
      <c r="D69" s="41" t="s">
        <v>293</v>
      </c>
      <c r="F69" s="41"/>
      <c r="H69" s="41"/>
      <c r="J69" s="41"/>
    </row>
    <row r="70" spans="2:10">
      <c r="B70" s="10" t="s">
        <v>75</v>
      </c>
      <c r="D70" s="41" t="s">
        <v>294</v>
      </c>
      <c r="F70" s="41"/>
      <c r="H70" s="41"/>
      <c r="J70" s="41"/>
    </row>
    <row r="71" spans="2:10">
      <c r="B71" s="10" t="s">
        <v>76</v>
      </c>
      <c r="D71" s="41" t="s">
        <v>295</v>
      </c>
      <c r="F71" s="41"/>
      <c r="H71" s="41"/>
      <c r="J71" s="41"/>
    </row>
    <row r="72" spans="2:10">
      <c r="B72" s="10" t="s">
        <v>77</v>
      </c>
      <c r="D72" s="41" t="s">
        <v>296</v>
      </c>
      <c r="F72" s="41"/>
      <c r="H72" s="41"/>
      <c r="J72" s="41"/>
    </row>
    <row r="73" spans="2:10">
      <c r="B73" s="10" t="s">
        <v>78</v>
      </c>
      <c r="D73" s="41" t="s">
        <v>297</v>
      </c>
      <c r="F73" s="41"/>
      <c r="H73" s="41"/>
      <c r="J73" s="41"/>
    </row>
    <row r="74" spans="2:10">
      <c r="B74" s="10" t="s">
        <v>79</v>
      </c>
      <c r="D74" s="41" t="s">
        <v>298</v>
      </c>
      <c r="F74" s="41"/>
      <c r="H74" s="41"/>
      <c r="J74" s="41"/>
    </row>
    <row r="75" spans="2:10">
      <c r="B75" s="10" t="s">
        <v>80</v>
      </c>
      <c r="D75" s="41" t="s">
        <v>299</v>
      </c>
      <c r="F75" s="41"/>
      <c r="H75" s="41"/>
      <c r="J75" s="41"/>
    </row>
    <row r="76" spans="2:10">
      <c r="B76" s="10" t="s">
        <v>81</v>
      </c>
      <c r="D76" s="41" t="s">
        <v>300</v>
      </c>
      <c r="F76" s="41"/>
      <c r="H76" s="41"/>
      <c r="J76" s="41"/>
    </row>
    <row r="77" spans="2:10">
      <c r="B77" s="10" t="s">
        <v>82</v>
      </c>
      <c r="D77" s="41" t="s">
        <v>301</v>
      </c>
      <c r="F77" s="41"/>
      <c r="H77" s="41"/>
      <c r="J77" s="41"/>
    </row>
    <row r="78" spans="2:10">
      <c r="B78" s="10" t="s">
        <v>83</v>
      </c>
      <c r="D78" s="41" t="s">
        <v>302</v>
      </c>
      <c r="F78" s="41"/>
      <c r="H78" s="41"/>
      <c r="J78" s="41"/>
    </row>
    <row r="79" spans="2:10">
      <c r="B79" s="10" t="s">
        <v>84</v>
      </c>
      <c r="D79" s="41" t="s">
        <v>303</v>
      </c>
      <c r="F79" s="41"/>
      <c r="H79" s="41"/>
      <c r="J79" s="41"/>
    </row>
    <row r="80" spans="2:10">
      <c r="B80" s="10" t="s">
        <v>85</v>
      </c>
      <c r="D80" s="41" t="s">
        <v>304</v>
      </c>
      <c r="F80" s="41"/>
      <c r="H80" s="41"/>
      <c r="J80" s="41"/>
    </row>
    <row r="81" spans="2:10">
      <c r="B81" s="10" t="s">
        <v>15</v>
      </c>
      <c r="D81" s="41" t="s">
        <v>305</v>
      </c>
      <c r="F81" s="41"/>
      <c r="H81" s="41"/>
      <c r="J81" s="41"/>
    </row>
    <row r="82" spans="2:10">
      <c r="B82" s="10" t="s">
        <v>86</v>
      </c>
      <c r="D82" s="41" t="s">
        <v>306</v>
      </c>
      <c r="F82" s="41"/>
      <c r="H82" s="41"/>
      <c r="J82" s="41"/>
    </row>
    <row r="83" spans="2:10">
      <c r="B83" s="10" t="s">
        <v>87</v>
      </c>
      <c r="D83" s="41" t="s">
        <v>307</v>
      </c>
      <c r="F83" s="41"/>
      <c r="H83" s="41"/>
      <c r="J83" s="41"/>
    </row>
    <row r="84" spans="2:10">
      <c r="B84" s="10" t="s">
        <v>88</v>
      </c>
      <c r="D84" s="41" t="s">
        <v>308</v>
      </c>
      <c r="F84" s="41"/>
      <c r="H84" s="41"/>
      <c r="J84" s="41"/>
    </row>
    <row r="85" spans="2:10">
      <c r="B85" s="10" t="s">
        <v>89</v>
      </c>
      <c r="D85" s="41" t="s">
        <v>309</v>
      </c>
      <c r="F85" s="41"/>
      <c r="H85" s="41"/>
      <c r="J85" s="41"/>
    </row>
    <row r="86" spans="2:10">
      <c r="B86" s="10" t="s">
        <v>90</v>
      </c>
      <c r="D86" s="41" t="s">
        <v>310</v>
      </c>
      <c r="F86" s="41"/>
      <c r="H86" s="41"/>
      <c r="J86" s="41"/>
    </row>
    <row r="87" spans="2:10">
      <c r="B87" s="10" t="s">
        <v>91</v>
      </c>
      <c r="D87" s="41" t="s">
        <v>311</v>
      </c>
      <c r="F87" s="41"/>
      <c r="H87" s="41"/>
      <c r="J87" s="41"/>
    </row>
    <row r="88" spans="2:10">
      <c r="B88" s="10" t="s">
        <v>92</v>
      </c>
      <c r="D88" s="41" t="s">
        <v>312</v>
      </c>
      <c r="F88" s="41"/>
      <c r="H88" s="41"/>
      <c r="J88" s="41"/>
    </row>
    <row r="89" spans="2:10">
      <c r="B89" s="10" t="s">
        <v>93</v>
      </c>
      <c r="D89" s="41" t="s">
        <v>313</v>
      </c>
      <c r="F89" s="41"/>
      <c r="H89" s="41"/>
      <c r="J89" s="41"/>
    </row>
    <row r="90" spans="2:10">
      <c r="B90" s="10" t="s">
        <v>94</v>
      </c>
      <c r="D90" s="41" t="s">
        <v>314</v>
      </c>
      <c r="F90" s="41"/>
      <c r="H90" s="41"/>
      <c r="J90" s="41"/>
    </row>
    <row r="91" spans="2:10">
      <c r="B91" s="10" t="s">
        <v>95</v>
      </c>
      <c r="D91" s="41" t="s">
        <v>315</v>
      </c>
      <c r="F91" s="41"/>
      <c r="H91" s="41"/>
      <c r="J91" s="41"/>
    </row>
    <row r="92" spans="2:10">
      <c r="B92" s="10" t="s">
        <v>96</v>
      </c>
      <c r="D92" s="41" t="s">
        <v>316</v>
      </c>
      <c r="F92" s="41"/>
      <c r="H92" s="41"/>
      <c r="J92" s="41"/>
    </row>
    <row r="93" spans="2:10">
      <c r="B93" s="10" t="s">
        <v>97</v>
      </c>
      <c r="D93" s="41" t="s">
        <v>317</v>
      </c>
      <c r="F93" s="41"/>
      <c r="H93" s="41"/>
      <c r="J93" s="41"/>
    </row>
    <row r="94" spans="2:10">
      <c r="B94" s="10" t="s">
        <v>98</v>
      </c>
      <c r="D94" s="41" t="s">
        <v>318</v>
      </c>
      <c r="F94" s="41"/>
      <c r="H94" s="41"/>
      <c r="J94" s="41"/>
    </row>
    <row r="95" spans="2:10">
      <c r="B95" s="10" t="s">
        <v>99</v>
      </c>
      <c r="D95" s="41" t="s">
        <v>319</v>
      </c>
      <c r="F95" s="41"/>
      <c r="H95" s="41"/>
      <c r="J95" s="41"/>
    </row>
    <row r="96" spans="2:10">
      <c r="B96" s="10" t="s">
        <v>100</v>
      </c>
      <c r="D96" s="41" t="s">
        <v>320</v>
      </c>
      <c r="F96" s="41"/>
      <c r="H96" s="41"/>
      <c r="J96" s="41"/>
    </row>
    <row r="97" spans="2:10">
      <c r="B97" s="10" t="s">
        <v>101</v>
      </c>
      <c r="D97" s="41" t="s">
        <v>321</v>
      </c>
      <c r="F97" s="41"/>
      <c r="H97" s="41"/>
      <c r="J97" s="41"/>
    </row>
    <row r="98" spans="2:10">
      <c r="B98" s="10" t="s">
        <v>102</v>
      </c>
      <c r="D98" s="41" t="s">
        <v>322</v>
      </c>
      <c r="F98" s="41"/>
      <c r="H98" s="41"/>
      <c r="J98" s="41"/>
    </row>
    <row r="99" spans="2:10">
      <c r="B99" s="10" t="s">
        <v>103</v>
      </c>
      <c r="D99" s="41" t="s">
        <v>323</v>
      </c>
      <c r="F99" s="41"/>
      <c r="H99" s="41"/>
      <c r="J99" s="41"/>
    </row>
    <row r="100" spans="2:10">
      <c r="B100" s="10" t="s">
        <v>104</v>
      </c>
      <c r="D100" s="41" t="s">
        <v>324</v>
      </c>
      <c r="F100" s="41"/>
      <c r="H100" s="41"/>
      <c r="J100" s="41"/>
    </row>
    <row r="101" spans="2:10">
      <c r="B101" s="10" t="s">
        <v>105</v>
      </c>
      <c r="D101" s="41" t="s">
        <v>325</v>
      </c>
      <c r="F101" s="41"/>
      <c r="H101" s="41"/>
      <c r="J101" s="41"/>
    </row>
    <row r="102" spans="2:10">
      <c r="B102" s="10" t="s">
        <v>106</v>
      </c>
      <c r="D102" s="41" t="s">
        <v>326</v>
      </c>
      <c r="F102" s="41"/>
      <c r="H102" s="41"/>
      <c r="J102" s="41"/>
    </row>
    <row r="103" spans="2:10">
      <c r="B103" s="10" t="s">
        <v>107</v>
      </c>
      <c r="D103" s="41" t="s">
        <v>327</v>
      </c>
      <c r="F103" s="41"/>
      <c r="H103" s="41"/>
      <c r="J103" s="41"/>
    </row>
    <row r="104" spans="2:10">
      <c r="B104" s="10" t="s">
        <v>108</v>
      </c>
      <c r="D104" s="41" t="s">
        <v>328</v>
      </c>
      <c r="F104" s="41"/>
      <c r="H104" s="41"/>
      <c r="J104" s="41"/>
    </row>
    <row r="105" spans="2:10">
      <c r="B105" s="10" t="s">
        <v>109</v>
      </c>
      <c r="D105" s="41" t="s">
        <v>329</v>
      </c>
      <c r="F105" s="41"/>
      <c r="H105" s="41"/>
      <c r="J105" s="41"/>
    </row>
    <row r="106" spans="2:10">
      <c r="B106" s="10" t="s">
        <v>110</v>
      </c>
      <c r="D106" s="41" t="s">
        <v>330</v>
      </c>
      <c r="F106" s="41"/>
      <c r="H106" s="41"/>
      <c r="J106" s="41"/>
    </row>
    <row r="107" spans="2:10">
      <c r="B107" s="10" t="s">
        <v>111</v>
      </c>
      <c r="D107" s="41" t="s">
        <v>331</v>
      </c>
      <c r="F107" s="41"/>
      <c r="H107" s="41"/>
      <c r="J107" s="41"/>
    </row>
    <row r="108" spans="2:10">
      <c r="B108" s="10" t="s">
        <v>112</v>
      </c>
      <c r="D108" s="41" t="s">
        <v>332</v>
      </c>
      <c r="F108" s="41"/>
      <c r="H108" s="41"/>
      <c r="J108" s="41"/>
    </row>
    <row r="109" spans="2:10">
      <c r="B109" s="10" t="s">
        <v>113</v>
      </c>
      <c r="D109" s="41" t="s">
        <v>333</v>
      </c>
      <c r="F109" s="41"/>
      <c r="H109" s="41"/>
      <c r="J109" s="41"/>
    </row>
    <row r="110" spans="2:10">
      <c r="B110" s="10" t="s">
        <v>114</v>
      </c>
      <c r="D110" s="41" t="s">
        <v>334</v>
      </c>
      <c r="F110" s="41"/>
      <c r="H110" s="41"/>
      <c r="J110" s="41"/>
    </row>
    <row r="111" spans="2:10">
      <c r="B111" s="10" t="s">
        <v>115</v>
      </c>
      <c r="D111" s="41" t="s">
        <v>335</v>
      </c>
      <c r="F111" s="41"/>
      <c r="H111" s="41"/>
      <c r="J111" s="41"/>
    </row>
    <row r="112" spans="2:10">
      <c r="B112" s="10" t="s">
        <v>116</v>
      </c>
      <c r="D112" s="41" t="s">
        <v>336</v>
      </c>
      <c r="F112" s="41"/>
      <c r="H112" s="41"/>
      <c r="J112" s="41"/>
    </row>
    <row r="113" spans="2:10">
      <c r="B113" s="10" t="s">
        <v>117</v>
      </c>
      <c r="D113" s="41" t="s">
        <v>337</v>
      </c>
      <c r="F113" s="41"/>
      <c r="H113" s="41"/>
      <c r="J113" s="41"/>
    </row>
    <row r="114" spans="2:10">
      <c r="B114" s="10" t="s">
        <v>118</v>
      </c>
      <c r="D114" s="41" t="s">
        <v>338</v>
      </c>
      <c r="F114" s="41"/>
      <c r="H114" s="41"/>
      <c r="J114" s="41"/>
    </row>
    <row r="115" spans="2:10">
      <c r="B115" s="10" t="s">
        <v>119</v>
      </c>
      <c r="D115" s="41" t="s">
        <v>339</v>
      </c>
      <c r="F115" s="41"/>
      <c r="H115" s="41"/>
      <c r="J115" s="41"/>
    </row>
    <row r="116" spans="2:10">
      <c r="B116" s="10" t="s">
        <v>120</v>
      </c>
      <c r="D116" s="41" t="s">
        <v>340</v>
      </c>
      <c r="F116" s="41"/>
      <c r="H116" s="41"/>
      <c r="J116" s="41"/>
    </row>
    <row r="117" spans="2:10">
      <c r="B117" s="10" t="s">
        <v>121</v>
      </c>
      <c r="D117" s="41" t="s">
        <v>341</v>
      </c>
      <c r="F117" s="41"/>
      <c r="H117" s="41"/>
      <c r="J117" s="41"/>
    </row>
    <row r="118" spans="2:10">
      <c r="B118" s="10" t="s">
        <v>122</v>
      </c>
      <c r="D118" s="41" t="s">
        <v>342</v>
      </c>
      <c r="F118" s="41"/>
      <c r="H118" s="41"/>
      <c r="J118" s="41"/>
    </row>
    <row r="119" spans="2:10">
      <c r="B119" s="10" t="s">
        <v>123</v>
      </c>
      <c r="D119" s="41" t="s">
        <v>343</v>
      </c>
      <c r="F119" s="41"/>
      <c r="H119" s="41"/>
      <c r="J119" s="41"/>
    </row>
    <row r="120" spans="2:10">
      <c r="B120" s="10" t="s">
        <v>124</v>
      </c>
      <c r="D120" s="41" t="s">
        <v>344</v>
      </c>
      <c r="F120" s="41"/>
      <c r="H120" s="41"/>
      <c r="J120" s="41"/>
    </row>
    <row r="121" spans="2:10">
      <c r="B121" s="10" t="s">
        <v>125</v>
      </c>
      <c r="D121" s="41" t="s">
        <v>345</v>
      </c>
      <c r="F121" s="41"/>
      <c r="H121" s="41"/>
      <c r="J121" s="41"/>
    </row>
    <row r="122" spans="2:10">
      <c r="B122" s="10" t="s">
        <v>126</v>
      </c>
      <c r="D122" s="41" t="s">
        <v>346</v>
      </c>
      <c r="F122" s="41"/>
      <c r="H122" s="41"/>
      <c r="J122" s="41"/>
    </row>
    <row r="123" spans="2:10">
      <c r="B123" s="10" t="s">
        <v>127</v>
      </c>
      <c r="D123" s="41" t="s">
        <v>347</v>
      </c>
      <c r="F123" s="41"/>
      <c r="H123" s="41"/>
      <c r="J123" s="41"/>
    </row>
    <row r="124" spans="2:10">
      <c r="B124" s="10" t="s">
        <v>128</v>
      </c>
      <c r="D124" s="41" t="s">
        <v>348</v>
      </c>
      <c r="F124" s="41"/>
      <c r="H124" s="41"/>
      <c r="J124" s="41"/>
    </row>
    <row r="125" spans="2:10">
      <c r="B125" s="10" t="s">
        <v>129</v>
      </c>
      <c r="D125" s="41" t="s">
        <v>349</v>
      </c>
      <c r="F125" s="41"/>
      <c r="H125" s="41"/>
      <c r="J125" s="41"/>
    </row>
    <row r="126" spans="2:10">
      <c r="B126" s="10" t="s">
        <v>130</v>
      </c>
      <c r="D126" s="41" t="s">
        <v>350</v>
      </c>
      <c r="F126" s="41"/>
      <c r="H126" s="41"/>
      <c r="J126" s="41"/>
    </row>
    <row r="127" spans="2:10">
      <c r="B127" s="10" t="s">
        <v>131</v>
      </c>
      <c r="D127" s="41" t="s">
        <v>351</v>
      </c>
      <c r="F127" s="41"/>
      <c r="H127" s="41"/>
      <c r="J127" s="41"/>
    </row>
    <row r="128" spans="2:10">
      <c r="B128" s="10" t="s">
        <v>132</v>
      </c>
      <c r="D128" s="41" t="s">
        <v>352</v>
      </c>
      <c r="F128" s="41"/>
      <c r="H128" s="41"/>
      <c r="J128" s="41"/>
    </row>
    <row r="129" spans="2:10">
      <c r="B129" s="10" t="s">
        <v>133</v>
      </c>
      <c r="D129" s="41" t="s">
        <v>353</v>
      </c>
      <c r="F129" s="41"/>
      <c r="H129" s="41"/>
      <c r="J129" s="41"/>
    </row>
    <row r="130" spans="2:10">
      <c r="B130" s="10" t="s">
        <v>134</v>
      </c>
      <c r="D130" s="41" t="s">
        <v>354</v>
      </c>
      <c r="F130" s="41"/>
      <c r="H130" s="41"/>
      <c r="J130" s="41"/>
    </row>
    <row r="131" spans="2:10">
      <c r="B131" s="10" t="s">
        <v>135</v>
      </c>
      <c r="D131" s="41" t="s">
        <v>355</v>
      </c>
      <c r="F131" s="41"/>
      <c r="H131" s="41"/>
      <c r="J131" s="41"/>
    </row>
    <row r="132" spans="2:10">
      <c r="B132" s="10" t="s">
        <v>136</v>
      </c>
      <c r="D132" s="41" t="s">
        <v>356</v>
      </c>
      <c r="F132" s="41"/>
      <c r="H132" s="41"/>
      <c r="J132" s="41"/>
    </row>
    <row r="133" spans="2:10">
      <c r="B133" s="10" t="s">
        <v>137</v>
      </c>
      <c r="D133" s="41" t="s">
        <v>357</v>
      </c>
      <c r="F133" s="41"/>
      <c r="H133" s="41"/>
      <c r="J133" s="41"/>
    </row>
    <row r="134" spans="2:10">
      <c r="B134" s="10" t="s">
        <v>138</v>
      </c>
      <c r="D134" s="41" t="s">
        <v>358</v>
      </c>
      <c r="F134" s="41"/>
      <c r="H134" s="41"/>
      <c r="J134" s="41"/>
    </row>
    <row r="135" spans="2:10">
      <c r="B135" s="10" t="s">
        <v>139</v>
      </c>
      <c r="D135" s="41" t="s">
        <v>359</v>
      </c>
      <c r="F135" s="41"/>
      <c r="H135" s="41"/>
      <c r="J135" s="41"/>
    </row>
    <row r="136" spans="2:10">
      <c r="B136" s="10" t="s">
        <v>140</v>
      </c>
      <c r="D136" s="41" t="s">
        <v>360</v>
      </c>
      <c r="F136" s="41"/>
      <c r="H136" s="41"/>
      <c r="J136" s="41"/>
    </row>
    <row r="137" spans="2:10">
      <c r="B137" s="10" t="s">
        <v>141</v>
      </c>
      <c r="D137" s="41" t="s">
        <v>361</v>
      </c>
      <c r="F137" s="41"/>
      <c r="H137" s="41"/>
      <c r="J137" s="41"/>
    </row>
    <row r="138" spans="2:10">
      <c r="B138" s="10" t="s">
        <v>142</v>
      </c>
      <c r="D138" s="41" t="s">
        <v>362</v>
      </c>
      <c r="F138" s="41"/>
      <c r="H138" s="41"/>
      <c r="J138" s="41"/>
    </row>
    <row r="139" spans="2:10">
      <c r="B139" s="10" t="s">
        <v>143</v>
      </c>
      <c r="D139" s="41" t="s">
        <v>363</v>
      </c>
      <c r="F139" s="41"/>
      <c r="H139" s="41"/>
      <c r="J139" s="41"/>
    </row>
    <row r="140" spans="2:10">
      <c r="B140" s="10" t="s">
        <v>144</v>
      </c>
      <c r="D140" s="41" t="s">
        <v>364</v>
      </c>
      <c r="F140" s="41"/>
      <c r="H140" s="41"/>
      <c r="J140" s="41"/>
    </row>
    <row r="141" spans="2:10">
      <c r="B141" s="10" t="s">
        <v>145</v>
      </c>
      <c r="D141" s="41" t="s">
        <v>365</v>
      </c>
      <c r="F141" s="41"/>
      <c r="H141" s="41"/>
      <c r="J141" s="41"/>
    </row>
    <row r="142" spans="2:10">
      <c r="B142" s="10" t="s">
        <v>146</v>
      </c>
      <c r="D142" s="41" t="s">
        <v>366</v>
      </c>
      <c r="F142" s="41"/>
      <c r="H142" s="41"/>
      <c r="J142" s="41"/>
    </row>
    <row r="143" spans="2:10">
      <c r="B143" s="10" t="s">
        <v>147</v>
      </c>
      <c r="D143" s="41" t="s">
        <v>367</v>
      </c>
      <c r="F143" s="41"/>
      <c r="H143" s="41"/>
      <c r="J143" s="41"/>
    </row>
    <row r="144" spans="2:10">
      <c r="B144" s="10" t="s">
        <v>148</v>
      </c>
      <c r="D144" s="41" t="s">
        <v>368</v>
      </c>
      <c r="F144" s="41"/>
      <c r="H144" s="41"/>
      <c r="J144" s="41"/>
    </row>
    <row r="145" spans="2:10">
      <c r="B145" s="10" t="s">
        <v>149</v>
      </c>
      <c r="D145" s="41" t="s">
        <v>369</v>
      </c>
      <c r="F145" s="41"/>
      <c r="H145" s="41"/>
      <c r="J145" s="41"/>
    </row>
    <row r="146" spans="2:10">
      <c r="B146" s="10" t="s">
        <v>16</v>
      </c>
      <c r="D146" s="41" t="s">
        <v>370</v>
      </c>
      <c r="F146" s="41"/>
      <c r="H146" s="41"/>
      <c r="J146" s="41"/>
    </row>
    <row r="147" spans="2:10">
      <c r="B147" s="10" t="s">
        <v>150</v>
      </c>
      <c r="D147" s="41" t="s">
        <v>371</v>
      </c>
      <c r="F147" s="41"/>
      <c r="H147" s="41"/>
      <c r="J147" s="41"/>
    </row>
    <row r="148" spans="2:10">
      <c r="B148" s="10" t="s">
        <v>151</v>
      </c>
      <c r="D148" s="41" t="s">
        <v>372</v>
      </c>
      <c r="F148" s="41"/>
      <c r="H148" s="41"/>
      <c r="J148" s="41"/>
    </row>
    <row r="149" spans="2:10">
      <c r="B149" s="10" t="s">
        <v>152</v>
      </c>
      <c r="D149" s="41" t="s">
        <v>373</v>
      </c>
      <c r="F149" s="41"/>
      <c r="H149" s="41"/>
      <c r="J149" s="41"/>
    </row>
    <row r="150" spans="2:10">
      <c r="B150" s="10" t="s">
        <v>153</v>
      </c>
      <c r="D150" s="41" t="s">
        <v>374</v>
      </c>
      <c r="F150" s="41"/>
      <c r="H150" s="41"/>
      <c r="J150" s="41"/>
    </row>
    <row r="151" spans="2:10">
      <c r="B151" s="10" t="s">
        <v>154</v>
      </c>
      <c r="D151" s="41" t="s">
        <v>375</v>
      </c>
      <c r="F151" s="41"/>
      <c r="H151" s="41"/>
      <c r="J151" s="41"/>
    </row>
    <row r="152" spans="2:10">
      <c r="B152" s="10" t="s">
        <v>155</v>
      </c>
      <c r="D152" s="41" t="s">
        <v>376</v>
      </c>
      <c r="F152" s="41"/>
      <c r="H152" s="41"/>
      <c r="J152" s="41"/>
    </row>
    <row r="153" spans="2:10">
      <c r="B153" s="10" t="s">
        <v>156</v>
      </c>
      <c r="D153" s="41" t="s">
        <v>377</v>
      </c>
      <c r="F153" s="41"/>
      <c r="H153" s="41"/>
      <c r="J153" s="41"/>
    </row>
    <row r="154" spans="2:10">
      <c r="B154" s="10" t="s">
        <v>157</v>
      </c>
      <c r="D154" s="41" t="s">
        <v>378</v>
      </c>
      <c r="F154" s="41"/>
      <c r="H154" s="41"/>
      <c r="J154" s="41"/>
    </row>
    <row r="155" spans="2:10">
      <c r="B155" s="10" t="s">
        <v>158</v>
      </c>
      <c r="D155" s="41" t="s">
        <v>379</v>
      </c>
      <c r="F155" s="41"/>
      <c r="H155" s="41"/>
      <c r="J155" s="41"/>
    </row>
    <row r="156" spans="2:10">
      <c r="B156" s="10" t="s">
        <v>17</v>
      </c>
      <c r="D156" s="41" t="s">
        <v>380</v>
      </c>
      <c r="F156" s="41"/>
      <c r="H156" s="41"/>
      <c r="J156" s="41"/>
    </row>
    <row r="157" spans="2:10">
      <c r="B157" s="10" t="s">
        <v>159</v>
      </c>
      <c r="D157" s="41" t="s">
        <v>381</v>
      </c>
      <c r="F157" s="41"/>
      <c r="H157" s="41"/>
      <c r="J157" s="41"/>
    </row>
    <row r="158" spans="2:10">
      <c r="B158" s="10" t="s">
        <v>160</v>
      </c>
      <c r="D158" s="41" t="s">
        <v>382</v>
      </c>
      <c r="F158" s="41"/>
      <c r="H158" s="41"/>
      <c r="J158" s="41"/>
    </row>
    <row r="159" spans="2:10">
      <c r="B159" s="10" t="s">
        <v>161</v>
      </c>
      <c r="D159" s="41" t="s">
        <v>383</v>
      </c>
      <c r="F159" s="41"/>
      <c r="H159" s="41"/>
      <c r="J159" s="41"/>
    </row>
    <row r="160" spans="2:10">
      <c r="B160" s="10" t="s">
        <v>162</v>
      </c>
      <c r="D160" s="41" t="s">
        <v>384</v>
      </c>
      <c r="F160" s="41"/>
      <c r="H160" s="41"/>
      <c r="J160" s="41"/>
    </row>
    <row r="161" spans="2:10">
      <c r="B161" s="10" t="s">
        <v>163</v>
      </c>
      <c r="D161" s="41" t="s">
        <v>385</v>
      </c>
      <c r="F161" s="41"/>
      <c r="H161" s="41"/>
      <c r="J161" s="41"/>
    </row>
    <row r="162" spans="2:10">
      <c r="B162" s="10" t="s">
        <v>164</v>
      </c>
      <c r="D162" s="41" t="s">
        <v>386</v>
      </c>
      <c r="F162" s="41"/>
      <c r="H162" s="41"/>
      <c r="J162" s="41"/>
    </row>
    <row r="163" spans="2:10">
      <c r="B163" s="10" t="s">
        <v>165</v>
      </c>
      <c r="D163" s="41" t="s">
        <v>387</v>
      </c>
      <c r="F163" s="41"/>
      <c r="H163" s="41"/>
      <c r="J163" s="41"/>
    </row>
    <row r="164" spans="2:10">
      <c r="B164" s="10" t="s">
        <v>166</v>
      </c>
      <c r="D164" s="41" t="s">
        <v>388</v>
      </c>
      <c r="F164" s="41"/>
      <c r="H164" s="41"/>
      <c r="J164" s="41"/>
    </row>
    <row r="165" spans="2:10">
      <c r="B165" s="10" t="s">
        <v>167</v>
      </c>
      <c r="D165" s="41" t="s">
        <v>389</v>
      </c>
      <c r="F165" s="41"/>
      <c r="H165" s="41"/>
      <c r="J165" s="41"/>
    </row>
    <row r="166" spans="2:10">
      <c r="B166" s="10" t="s">
        <v>168</v>
      </c>
      <c r="D166" s="41" t="s">
        <v>390</v>
      </c>
      <c r="F166" s="41"/>
      <c r="H166" s="41"/>
      <c r="J166" s="41"/>
    </row>
    <row r="167" spans="2:10">
      <c r="B167" s="10"/>
      <c r="D167" s="41" t="s">
        <v>391</v>
      </c>
      <c r="F167" s="41"/>
      <c r="H167" s="41"/>
      <c r="J167" s="41"/>
    </row>
    <row r="168" spans="2:10">
      <c r="B168" s="10"/>
      <c r="D168" s="41" t="s">
        <v>392</v>
      </c>
      <c r="F168" s="41"/>
      <c r="H168" s="41"/>
      <c r="J168" s="41"/>
    </row>
    <row r="169" spans="2:10">
      <c r="B169" s="10"/>
      <c r="D169" s="41" t="s">
        <v>393</v>
      </c>
      <c r="F169" s="41"/>
      <c r="H169" s="41"/>
      <c r="J169" s="41"/>
    </row>
    <row r="170" spans="2:10">
      <c r="B170" s="10"/>
      <c r="D170" s="41" t="s">
        <v>394</v>
      </c>
      <c r="F170" s="41"/>
      <c r="H170" s="41"/>
      <c r="J170" s="41"/>
    </row>
    <row r="171" spans="2:10">
      <c r="B171" s="10"/>
      <c r="D171" s="41" t="s">
        <v>395</v>
      </c>
      <c r="F171" s="41"/>
      <c r="H171" s="41"/>
      <c r="J171" s="41"/>
    </row>
    <row r="172" spans="2:10">
      <c r="B172" s="10"/>
      <c r="D172" s="41" t="s">
        <v>396</v>
      </c>
      <c r="F172" s="41"/>
      <c r="H172" s="41"/>
      <c r="J172" s="41"/>
    </row>
    <row r="173" spans="2:10">
      <c r="B173" s="10"/>
      <c r="D173" s="41" t="s">
        <v>397</v>
      </c>
      <c r="F173" s="41"/>
      <c r="H173" s="41"/>
      <c r="J173" s="41"/>
    </row>
    <row r="174" spans="2:10">
      <c r="B174" s="10"/>
      <c r="D174" s="41" t="s">
        <v>398</v>
      </c>
      <c r="F174" s="41"/>
      <c r="H174" s="41"/>
      <c r="J174" s="41"/>
    </row>
    <row r="175" spans="2:10">
      <c r="B175" s="10"/>
      <c r="D175" s="41" t="s">
        <v>399</v>
      </c>
      <c r="F175" s="41"/>
      <c r="H175" s="41"/>
      <c r="J175" s="41"/>
    </row>
    <row r="176" spans="2:10">
      <c r="B176" s="10"/>
      <c r="D176" s="41" t="s">
        <v>400</v>
      </c>
      <c r="F176" s="41"/>
      <c r="H176" s="41"/>
      <c r="J176" s="41"/>
    </row>
    <row r="177" spans="2:10">
      <c r="B177" s="10"/>
      <c r="D177" s="41" t="s">
        <v>401</v>
      </c>
      <c r="F177" s="41"/>
      <c r="H177" s="41"/>
      <c r="J177" s="41"/>
    </row>
    <row r="178" spans="2:10">
      <c r="B178" s="10"/>
      <c r="D178" s="41" t="s">
        <v>402</v>
      </c>
      <c r="F178" s="41"/>
      <c r="H178" s="41"/>
      <c r="J178" s="41"/>
    </row>
    <row r="179" spans="2:10">
      <c r="B179" s="10"/>
      <c r="D179" s="41" t="s">
        <v>403</v>
      </c>
      <c r="F179" s="41"/>
      <c r="H179" s="41"/>
      <c r="J179" s="41"/>
    </row>
    <row r="180" spans="2:10">
      <c r="B180" s="10"/>
      <c r="D180" s="41" t="s">
        <v>404</v>
      </c>
      <c r="F180" s="41"/>
      <c r="H180" s="41"/>
      <c r="J180" s="41"/>
    </row>
    <row r="181" spans="2:10">
      <c r="B181" s="10"/>
      <c r="D181" s="41" t="s">
        <v>405</v>
      </c>
      <c r="F181" s="41"/>
      <c r="H181" s="41"/>
      <c r="J181" s="41"/>
    </row>
    <row r="182" spans="2:10">
      <c r="B182" s="10"/>
      <c r="D182" s="41" t="s">
        <v>406</v>
      </c>
      <c r="F182" s="41"/>
      <c r="H182" s="41"/>
      <c r="J182" s="41"/>
    </row>
    <row r="183" spans="2:10">
      <c r="B183" s="10"/>
      <c r="D183" s="41" t="s">
        <v>407</v>
      </c>
      <c r="F183" s="41"/>
      <c r="H183" s="41"/>
      <c r="J183" s="41"/>
    </row>
    <row r="184" spans="2:10">
      <c r="B184" s="10"/>
      <c r="D184" s="41" t="s">
        <v>408</v>
      </c>
      <c r="F184" s="41"/>
      <c r="H184" s="41"/>
      <c r="J184" s="41"/>
    </row>
    <row r="185" spans="2:10">
      <c r="B185" s="10"/>
      <c r="D185" s="41" t="s">
        <v>409</v>
      </c>
      <c r="F185" s="41"/>
      <c r="H185" s="41"/>
      <c r="J185" s="41"/>
    </row>
    <row r="186" spans="2:10">
      <c r="B186" s="10"/>
      <c r="D186" s="41" t="s">
        <v>410</v>
      </c>
      <c r="F186" s="41"/>
      <c r="H186" s="41"/>
      <c r="J186" s="41"/>
    </row>
    <row r="187" spans="2:10">
      <c r="B187" s="10"/>
      <c r="D187" s="41" t="s">
        <v>411</v>
      </c>
      <c r="F187" s="41"/>
      <c r="H187" s="41"/>
      <c r="J187" s="41"/>
    </row>
    <row r="188" spans="2:10">
      <c r="B188" s="10"/>
      <c r="D188" s="41" t="s">
        <v>412</v>
      </c>
      <c r="F188" s="41"/>
      <c r="H188" s="41"/>
      <c r="J188" s="41"/>
    </row>
    <row r="189" spans="2:10">
      <c r="B189" s="10"/>
      <c r="D189" s="41" t="s">
        <v>413</v>
      </c>
      <c r="F189" s="41"/>
      <c r="H189" s="41"/>
      <c r="J189" s="41"/>
    </row>
    <row r="190" spans="2:10">
      <c r="B190" s="10"/>
      <c r="D190" s="41" t="s">
        <v>414</v>
      </c>
      <c r="F190" s="41"/>
      <c r="H190" s="41"/>
      <c r="J190" s="41"/>
    </row>
    <row r="191" spans="2:10">
      <c r="B191" s="10"/>
      <c r="D191" s="41" t="s">
        <v>415</v>
      </c>
      <c r="F191" s="41"/>
      <c r="H191" s="41"/>
      <c r="J191" s="41"/>
    </row>
    <row r="192" spans="2:10">
      <c r="B192" s="10"/>
      <c r="D192" s="41" t="s">
        <v>416</v>
      </c>
      <c r="F192" s="41"/>
      <c r="H192" s="41"/>
      <c r="J192" s="41"/>
    </row>
    <row r="193" spans="2:10">
      <c r="B193" s="10"/>
      <c r="D193" s="41" t="s">
        <v>417</v>
      </c>
      <c r="F193" s="41"/>
      <c r="H193" s="41"/>
      <c r="J193" s="41"/>
    </row>
    <row r="194" spans="2:10">
      <c r="B194" s="10"/>
      <c r="D194" s="41" t="s">
        <v>418</v>
      </c>
      <c r="F194" s="41"/>
      <c r="H194" s="41"/>
      <c r="J194" s="41"/>
    </row>
    <row r="195" spans="2:10">
      <c r="B195" s="10"/>
      <c r="D195" s="41" t="s">
        <v>419</v>
      </c>
      <c r="F195" s="41"/>
      <c r="H195" s="41"/>
      <c r="J195" s="41"/>
    </row>
    <row r="196" spans="2:10">
      <c r="B196" s="10"/>
      <c r="D196" s="41" t="s">
        <v>420</v>
      </c>
      <c r="F196" s="41"/>
      <c r="H196" s="41"/>
      <c r="J196" s="41"/>
    </row>
    <row r="197" spans="2:10">
      <c r="B197" s="10"/>
      <c r="D197" s="41" t="s">
        <v>421</v>
      </c>
      <c r="F197" s="41"/>
      <c r="H197" s="41"/>
      <c r="J197" s="41"/>
    </row>
  </sheetData>
  <pageMargins left="0.7" right="0.7" top="0.75" bottom="0.75" header="0.3" footer="0.3"/>
  <pageSetup orientation="portrait" r:id="rId1"/>
  <headerFooter>
    <oddHeader>&amp;L&amp;"Arial"&amp;8&amp;K000000INTERNAL&amp;1#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223B-FA87-45D3-905F-EE7960634DD3}">
  <dimension ref="A1:BE87"/>
  <sheetViews>
    <sheetView workbookViewId="0"/>
  </sheetViews>
  <sheetFormatPr baseColWidth="10" defaultColWidth="9.1640625" defaultRowHeight="15"/>
  <cols>
    <col min="1" max="24" width="2.1640625" style="54" customWidth="1"/>
    <col min="25" max="42" width="1.1640625" style="54" customWidth="1"/>
    <col min="43" max="43" width="35.1640625" style="54" bestFit="1" customWidth="1"/>
    <col min="44" max="44" width="20.6640625" style="54" bestFit="1" customWidth="1"/>
    <col min="45" max="45" width="18.1640625" style="54" bestFit="1" customWidth="1"/>
    <col min="46" max="46" width="24" style="54" bestFit="1" customWidth="1"/>
    <col min="47" max="47" width="33.83203125" style="54" bestFit="1" customWidth="1"/>
    <col min="48" max="48" width="14.5" style="54" bestFit="1" customWidth="1"/>
    <col min="49" max="49" width="14.33203125" style="54" bestFit="1" customWidth="1"/>
    <col min="50" max="50" width="16.33203125" style="54" bestFit="1" customWidth="1"/>
    <col min="51" max="51" width="33.83203125" style="54" bestFit="1" customWidth="1"/>
    <col min="52" max="52" width="19.5" style="54" bestFit="1" customWidth="1"/>
    <col min="53" max="53" width="20.33203125" style="54" bestFit="1" customWidth="1"/>
    <col min="54" max="54" width="25.1640625" style="54" bestFit="1" customWidth="1"/>
    <col min="55" max="55" width="15.5" style="54" bestFit="1" customWidth="1"/>
    <col min="56" max="56" width="6.1640625" style="54" bestFit="1" customWidth="1"/>
    <col min="57" max="57" width="6.5" style="54" bestFit="1" customWidth="1"/>
    <col min="58" max="58" width="0.5" style="54" customWidth="1"/>
    <col min="59" max="16384" width="9.1640625" style="54"/>
  </cols>
  <sheetData>
    <row r="1" spans="1:57">
      <c r="A1" s="54" t="s">
        <v>524</v>
      </c>
      <c r="B1" s="54" t="s">
        <v>171</v>
      </c>
      <c r="C1" s="54" t="s">
        <v>176</v>
      </c>
      <c r="D1" s="54" t="s">
        <v>422</v>
      </c>
      <c r="E1" s="54" t="s">
        <v>525</v>
      </c>
      <c r="F1" s="54" t="s">
        <v>526</v>
      </c>
      <c r="G1" s="54" t="s">
        <v>527</v>
      </c>
      <c r="H1" s="54" t="s">
        <v>528</v>
      </c>
      <c r="I1" s="54" t="s">
        <v>529</v>
      </c>
      <c r="J1" s="54" t="s">
        <v>530</v>
      </c>
      <c r="K1" s="54" t="s">
        <v>531</v>
      </c>
      <c r="L1" s="54" t="s">
        <v>532</v>
      </c>
      <c r="M1" s="54" t="s">
        <v>533</v>
      </c>
      <c r="N1" s="54" t="s">
        <v>534</v>
      </c>
      <c r="O1" s="54" t="s">
        <v>535</v>
      </c>
      <c r="P1" s="54" t="s">
        <v>536</v>
      </c>
      <c r="Q1" s="54" t="s">
        <v>537</v>
      </c>
      <c r="R1" s="54" t="s">
        <v>538</v>
      </c>
      <c r="S1" s="54" t="s">
        <v>539</v>
      </c>
      <c r="T1" s="54" t="s">
        <v>540</v>
      </c>
      <c r="U1" s="54" t="s">
        <v>541</v>
      </c>
      <c r="V1" s="54" t="s">
        <v>542</v>
      </c>
      <c r="W1" s="54" t="s">
        <v>543</v>
      </c>
      <c r="X1" s="54" t="s">
        <v>544</v>
      </c>
      <c r="Y1" s="55" t="s">
        <v>185</v>
      </c>
      <c r="Z1" s="55" t="s">
        <v>196</v>
      </c>
      <c r="AA1" s="55" t="s">
        <v>191</v>
      </c>
      <c r="AB1" s="55" t="s">
        <v>197</v>
      </c>
      <c r="AC1" s="55" t="s">
        <v>198</v>
      </c>
      <c r="AD1" s="55" t="s">
        <v>199</v>
      </c>
      <c r="AE1" s="54" t="s">
        <v>190</v>
      </c>
      <c r="AF1" s="54" t="s">
        <v>200</v>
      </c>
      <c r="AG1" s="54" t="s">
        <v>201</v>
      </c>
      <c r="AH1" s="54" t="s">
        <v>188</v>
      </c>
      <c r="AI1" s="54" t="s">
        <v>189</v>
      </c>
      <c r="AJ1" s="54" t="s">
        <v>202</v>
      </c>
      <c r="AK1" s="54" t="s">
        <v>192</v>
      </c>
      <c r="AL1" s="54" t="s">
        <v>203</v>
      </c>
      <c r="AM1" s="54" t="s">
        <v>193</v>
      </c>
      <c r="AN1" s="54" t="s">
        <v>195</v>
      </c>
      <c r="AO1" s="54" t="s">
        <v>194</v>
      </c>
      <c r="AP1" s="54" t="s">
        <v>186</v>
      </c>
      <c r="AQ1" s="56" t="s">
        <v>207</v>
      </c>
      <c r="AR1" s="57" t="s">
        <v>436</v>
      </c>
      <c r="AS1" s="57" t="s">
        <v>437</v>
      </c>
      <c r="AT1" s="57" t="s">
        <v>438</v>
      </c>
      <c r="AU1" s="57" t="s">
        <v>439</v>
      </c>
      <c r="AV1" s="57" t="s">
        <v>440</v>
      </c>
      <c r="AW1" s="57" t="s">
        <v>441</v>
      </c>
      <c r="AX1" s="57" t="s">
        <v>218</v>
      </c>
      <c r="AY1" s="57" t="s">
        <v>476</v>
      </c>
      <c r="AZ1" s="57" t="s">
        <v>483</v>
      </c>
      <c r="BA1" s="57" t="s">
        <v>442</v>
      </c>
      <c r="BB1" s="57" t="s">
        <v>443</v>
      </c>
      <c r="BC1" s="57" t="s">
        <v>504</v>
      </c>
      <c r="BD1" s="57" t="s">
        <v>506</v>
      </c>
      <c r="BE1" s="57" t="s">
        <v>505</v>
      </c>
    </row>
    <row r="2" spans="1:57">
      <c r="A2" s="54">
        <f>RFI!I9</f>
        <v>0</v>
      </c>
      <c r="B2" s="54">
        <f>RFI!AG12</f>
        <v>0</v>
      </c>
      <c r="C2" s="54">
        <f>RFI!AG15</f>
        <v>0</v>
      </c>
      <c r="D2" s="54">
        <f>RFI!AG18</f>
        <v>0</v>
      </c>
      <c r="E2" s="54" t="e">
        <f>RFI!#REF!</f>
        <v>#REF!</v>
      </c>
      <c r="F2" s="54" t="e">
        <f>RFI!#REF!</f>
        <v>#REF!</v>
      </c>
      <c r="G2" s="54" t="e">
        <f>RFI!#REF!</f>
        <v>#REF!</v>
      </c>
      <c r="H2" s="54" t="e">
        <f>RFI!#REF!</f>
        <v>#REF!</v>
      </c>
      <c r="I2" s="54" t="e">
        <f>RFI!#REF!</f>
        <v>#REF!</v>
      </c>
      <c r="J2" s="54" t="e">
        <f>RFI!#REF!</f>
        <v>#REF!</v>
      </c>
      <c r="K2" s="54" t="e">
        <f>RFI!#REF!</f>
        <v>#REF!</v>
      </c>
      <c r="L2" s="54" t="e">
        <f>RFI!#REF!</f>
        <v>#REF!</v>
      </c>
      <c r="M2" s="54" t="e">
        <f>RFI!#REF!</f>
        <v>#REF!</v>
      </c>
      <c r="N2" s="54" t="e">
        <f>RFI!#REF!</f>
        <v>#REF!</v>
      </c>
      <c r="O2" s="54" t="e">
        <f>RFI!#REF!</f>
        <v>#REF!</v>
      </c>
      <c r="P2" s="54" t="e">
        <f>RFI!#REF!</f>
        <v>#REF!</v>
      </c>
      <c r="Q2" s="54" t="e">
        <f>RFI!#REF!</f>
        <v>#REF!</v>
      </c>
      <c r="R2" s="54" t="e">
        <f>RFI!#REF!</f>
        <v>#REF!</v>
      </c>
      <c r="S2" s="54" t="e">
        <f>RFI!#REF!</f>
        <v>#REF!</v>
      </c>
      <c r="T2" s="54" t="e">
        <f>RFI!#REF!</f>
        <v>#REF!</v>
      </c>
      <c r="U2" s="54" t="e">
        <f>RFI!#REF!</f>
        <v>#REF!</v>
      </c>
      <c r="V2" s="54" t="e">
        <f>RFI!#REF!</f>
        <v>#REF!</v>
      </c>
      <c r="W2" s="54" t="e">
        <f>RFI!#REF!</f>
        <v>#REF!</v>
      </c>
      <c r="X2" s="54" t="e">
        <f>RFI!#REF!</f>
        <v>#REF!</v>
      </c>
      <c r="Y2" s="58">
        <f>RFI!L69</f>
        <v>0</v>
      </c>
      <c r="Z2" s="58">
        <f>RFI!L70</f>
        <v>0</v>
      </c>
      <c r="AA2" s="58">
        <f>RFI!L71</f>
        <v>0</v>
      </c>
      <c r="AB2" s="58">
        <f>RFI!L72</f>
        <v>0</v>
      </c>
      <c r="AC2" s="58">
        <f>RFI!L73</f>
        <v>0</v>
      </c>
      <c r="AD2" s="58">
        <f>RFI!L74</f>
        <v>0</v>
      </c>
      <c r="AE2" s="58">
        <f>RFI!X69</f>
        <v>0</v>
      </c>
      <c r="AF2" s="58">
        <f>RFI!X70</f>
        <v>0</v>
      </c>
      <c r="AG2" s="58">
        <f>RFI!X71</f>
        <v>0</v>
      </c>
      <c r="AH2" s="58">
        <f>RFI!X72</f>
        <v>0</v>
      </c>
      <c r="AI2" s="58">
        <f>RFI!X73</f>
        <v>0</v>
      </c>
      <c r="AJ2" s="58">
        <f>RFI!X74</f>
        <v>0</v>
      </c>
      <c r="AK2" s="58">
        <f>RFI!AJ69</f>
        <v>0</v>
      </c>
      <c r="AL2" s="58">
        <f>RFI!AJ70</f>
        <v>0</v>
      </c>
      <c r="AM2" s="58">
        <f>RFI!AJ71</f>
        <v>0</v>
      </c>
      <c r="AN2" s="58">
        <f>RFI!AJ72</f>
        <v>0</v>
      </c>
      <c r="AO2" s="58">
        <f>RFI!AJ73</f>
        <v>0</v>
      </c>
      <c r="AP2" s="58">
        <f>RFI!AJ74</f>
        <v>0</v>
      </c>
      <c r="AQ2" s="58">
        <f>AS6</f>
        <v>0</v>
      </c>
      <c r="AR2" s="59">
        <f>AX5</f>
        <v>0</v>
      </c>
      <c r="AS2" s="59">
        <f>AX6</f>
        <v>0</v>
      </c>
      <c r="AT2" s="59">
        <f>AX7</f>
        <v>0</v>
      </c>
      <c r="AU2" s="59">
        <f>AX8</f>
        <v>0</v>
      </c>
      <c r="AV2" s="59">
        <f>AX9</f>
        <v>0</v>
      </c>
      <c r="AW2" s="59">
        <f>AX10</f>
        <v>0</v>
      </c>
      <c r="AX2" s="59">
        <f>AX11</f>
        <v>0</v>
      </c>
      <c r="AY2" s="59">
        <f>AX12</f>
        <v>0</v>
      </c>
      <c r="AZ2" s="59">
        <f>AX13</f>
        <v>0</v>
      </c>
      <c r="BA2" s="59">
        <f>AX14</f>
        <v>0</v>
      </c>
      <c r="BB2" s="59">
        <f>AX15</f>
        <v>0</v>
      </c>
      <c r="BC2" s="59">
        <f>AX16</f>
        <v>0</v>
      </c>
      <c r="BD2" s="59">
        <f>AX17</f>
        <v>0</v>
      </c>
      <c r="BE2" s="58">
        <f>AX18</f>
        <v>0</v>
      </c>
    </row>
    <row r="5" spans="1:57">
      <c r="AS5" s="54">
        <f>COUNTIF(AR6:AR87,"true")</f>
        <v>0</v>
      </c>
      <c r="AU5" s="57" t="s">
        <v>436</v>
      </c>
      <c r="AV5" s="57">
        <f>COUNTIF(AR6:AR13,"true")</f>
        <v>0</v>
      </c>
      <c r="AW5" s="57">
        <v>8</v>
      </c>
      <c r="AX5" s="60">
        <f>AV5/AW5</f>
        <v>0</v>
      </c>
    </row>
    <row r="6" spans="1:57">
      <c r="AQ6" s="54" t="s">
        <v>208</v>
      </c>
      <c r="AR6" s="54" t="e">
        <f>RFI!#REF!</f>
        <v>#REF!</v>
      </c>
      <c r="AS6" s="61">
        <f>AS5/86</f>
        <v>0</v>
      </c>
      <c r="AU6" s="57" t="s">
        <v>437</v>
      </c>
      <c r="AV6" s="57">
        <f>COUNTIF(AR14:AR22,"true")</f>
        <v>0</v>
      </c>
      <c r="AW6" s="57">
        <v>9</v>
      </c>
      <c r="AX6" s="60">
        <f t="shared" ref="AX6:AX18" si="0">AV6/AW6</f>
        <v>0</v>
      </c>
    </row>
    <row r="7" spans="1:57">
      <c r="AQ7" s="54" t="s">
        <v>214</v>
      </c>
      <c r="AR7" s="54" t="e">
        <f>RFI!#REF!</f>
        <v>#REF!</v>
      </c>
      <c r="AU7" s="57" t="s">
        <v>438</v>
      </c>
      <c r="AV7" s="57">
        <f>COUNTIF(AR23:AR25,"true")</f>
        <v>0</v>
      </c>
      <c r="AW7" s="57">
        <v>3</v>
      </c>
      <c r="AX7" s="60">
        <f t="shared" si="0"/>
        <v>0</v>
      </c>
    </row>
    <row r="8" spans="1:57">
      <c r="AQ8" s="54" t="s">
        <v>444</v>
      </c>
      <c r="AR8" s="54" t="e">
        <f>RFI!#REF!</f>
        <v>#REF!</v>
      </c>
      <c r="AU8" s="57" t="s">
        <v>439</v>
      </c>
      <c r="AV8" s="57">
        <f>COUNTIF(AR26:AR32,"true")</f>
        <v>0</v>
      </c>
      <c r="AW8" s="57">
        <v>7</v>
      </c>
      <c r="AX8" s="60">
        <f t="shared" si="0"/>
        <v>0</v>
      </c>
    </row>
    <row r="9" spans="1:57">
      <c r="AQ9" s="54" t="s">
        <v>445</v>
      </c>
      <c r="AR9" s="54" t="e">
        <f>RFI!#REF!</f>
        <v>#REF!</v>
      </c>
      <c r="AU9" s="57" t="s">
        <v>440</v>
      </c>
      <c r="AV9" s="57">
        <f>COUNTIF(AR33:AR38,"true")</f>
        <v>0</v>
      </c>
      <c r="AW9" s="57">
        <v>6</v>
      </c>
      <c r="AX9" s="60">
        <f t="shared" si="0"/>
        <v>0</v>
      </c>
    </row>
    <row r="10" spans="1:57">
      <c r="AQ10" s="54" t="s">
        <v>211</v>
      </c>
      <c r="AR10" s="54" t="e">
        <f>RFI!#REF!</f>
        <v>#REF!</v>
      </c>
      <c r="AU10" s="57" t="s">
        <v>441</v>
      </c>
      <c r="AV10" s="57">
        <f>COUNTIF(AR39:AR43,"true")</f>
        <v>0</v>
      </c>
      <c r="AW10" s="57">
        <v>5</v>
      </c>
      <c r="AX10" s="60">
        <f t="shared" si="0"/>
        <v>0</v>
      </c>
    </row>
    <row r="11" spans="1:57">
      <c r="AQ11" s="54" t="s">
        <v>213</v>
      </c>
      <c r="AR11" s="54" t="e">
        <f>RFI!#REF!</f>
        <v>#REF!</v>
      </c>
      <c r="AU11" s="57" t="s">
        <v>218</v>
      </c>
      <c r="AV11" s="57">
        <f>COUNTIF(AR49:AR54,"true")</f>
        <v>0</v>
      </c>
      <c r="AW11" s="57">
        <v>6</v>
      </c>
      <c r="AX11" s="60">
        <f t="shared" si="0"/>
        <v>0</v>
      </c>
    </row>
    <row r="12" spans="1:57">
      <c r="AQ12" s="54" t="s">
        <v>446</v>
      </c>
      <c r="AR12" s="54" t="e">
        <f>RFI!#REF!</f>
        <v>#REF!</v>
      </c>
      <c r="AU12" s="57" t="s">
        <v>476</v>
      </c>
      <c r="AV12" s="57">
        <f>COUNTIF(AR50:AR56,"true")</f>
        <v>0</v>
      </c>
      <c r="AW12" s="57">
        <v>7</v>
      </c>
      <c r="AX12" s="60">
        <f t="shared" si="0"/>
        <v>0</v>
      </c>
    </row>
    <row r="13" spans="1:57">
      <c r="AQ13" s="54" t="s">
        <v>447</v>
      </c>
      <c r="AR13" s="54" t="e">
        <f>RFI!#REF!</f>
        <v>#REF!</v>
      </c>
      <c r="AU13" s="57" t="s">
        <v>483</v>
      </c>
      <c r="AV13" s="57">
        <f>COUNTIF(AR57:AR63,"true")</f>
        <v>0</v>
      </c>
      <c r="AW13" s="57">
        <v>7</v>
      </c>
      <c r="AX13" s="60">
        <f t="shared" si="0"/>
        <v>0</v>
      </c>
    </row>
    <row r="14" spans="1:57">
      <c r="AQ14" s="54" t="s">
        <v>209</v>
      </c>
      <c r="AR14" s="54" t="e">
        <f>RFI!#REF!</f>
        <v>#REF!</v>
      </c>
      <c r="AU14" s="57" t="s">
        <v>442</v>
      </c>
      <c r="AV14" s="57">
        <f>COUNTIF(AR64:AR67,"true")</f>
        <v>0</v>
      </c>
      <c r="AW14" s="57">
        <v>4</v>
      </c>
      <c r="AX14" s="60">
        <f t="shared" si="0"/>
        <v>0</v>
      </c>
    </row>
    <row r="15" spans="1:57">
      <c r="AQ15" s="54" t="s">
        <v>448</v>
      </c>
      <c r="AR15" s="54" t="e">
        <f>RFI!#REF!</f>
        <v>#REF!</v>
      </c>
      <c r="AU15" s="57" t="s">
        <v>443</v>
      </c>
      <c r="AV15" s="57">
        <f>COUNTIF(AR68:AR72,"true")</f>
        <v>0</v>
      </c>
      <c r="AW15" s="57">
        <v>5</v>
      </c>
      <c r="AX15" s="60">
        <f t="shared" si="0"/>
        <v>0</v>
      </c>
    </row>
    <row r="16" spans="1:57">
      <c r="AQ16" s="54" t="s">
        <v>210</v>
      </c>
      <c r="AR16" s="54" t="e">
        <f>RFI!#REF!</f>
        <v>#REF!</v>
      </c>
      <c r="AU16" s="57" t="s">
        <v>504</v>
      </c>
      <c r="AV16" s="57">
        <f>COUNTIF(AR73:AR77,"true")</f>
        <v>0</v>
      </c>
      <c r="AW16" s="57">
        <v>5</v>
      </c>
      <c r="AX16" s="60">
        <f t="shared" si="0"/>
        <v>0</v>
      </c>
    </row>
    <row r="17" spans="43:50">
      <c r="AQ17" s="54" t="s">
        <v>449</v>
      </c>
      <c r="AR17" s="54" t="e">
        <f>RFI!#REF!</f>
        <v>#REF!</v>
      </c>
      <c r="AU17" s="57" t="s">
        <v>506</v>
      </c>
      <c r="AV17" s="57">
        <f>COUNTIF(AR78:AR82,"true")</f>
        <v>0</v>
      </c>
      <c r="AW17" s="57">
        <v>5</v>
      </c>
      <c r="AX17" s="60">
        <f t="shared" si="0"/>
        <v>0</v>
      </c>
    </row>
    <row r="18" spans="43:50">
      <c r="AQ18" s="54" t="s">
        <v>450</v>
      </c>
      <c r="AR18" s="54" t="e">
        <f>RFI!#REF!</f>
        <v>#REF!</v>
      </c>
      <c r="AU18" s="57" t="s">
        <v>505</v>
      </c>
      <c r="AV18" s="57">
        <f>COUNTIF(AR83:AR87,"true")</f>
        <v>0</v>
      </c>
      <c r="AW18" s="57">
        <v>5</v>
      </c>
      <c r="AX18" s="60">
        <f t="shared" si="0"/>
        <v>0</v>
      </c>
    </row>
    <row r="19" spans="43:50">
      <c r="AQ19" s="54" t="s">
        <v>451</v>
      </c>
      <c r="AR19" s="54" t="e">
        <f>RFI!#REF!</f>
        <v>#REF!</v>
      </c>
    </row>
    <row r="20" spans="43:50">
      <c r="AQ20" s="54" t="s">
        <v>452</v>
      </c>
      <c r="AR20" s="54" t="e">
        <f>RFI!#REF!</f>
        <v>#REF!</v>
      </c>
    </row>
    <row r="21" spans="43:50">
      <c r="AQ21" s="54" t="s">
        <v>453</v>
      </c>
      <c r="AR21" s="54" t="e">
        <f>RFI!#REF!</f>
        <v>#REF!</v>
      </c>
    </row>
    <row r="22" spans="43:50">
      <c r="AQ22" s="54" t="s">
        <v>454</v>
      </c>
      <c r="AR22" s="54" t="e">
        <f>RFI!#REF!</f>
        <v>#REF!</v>
      </c>
    </row>
    <row r="23" spans="43:50">
      <c r="AQ23" s="54" t="s">
        <v>455</v>
      </c>
      <c r="AR23" s="54" t="e">
        <f>RFI!#REF!</f>
        <v>#REF!</v>
      </c>
    </row>
    <row r="24" spans="43:50">
      <c r="AQ24" s="54" t="s">
        <v>456</v>
      </c>
      <c r="AR24" s="54" t="e">
        <f>RFI!#REF!</f>
        <v>#REF!</v>
      </c>
    </row>
    <row r="25" spans="43:50">
      <c r="AQ25" s="54" t="s">
        <v>457</v>
      </c>
      <c r="AR25" s="54" t="e">
        <f>RFI!#REF!</f>
        <v>#REF!</v>
      </c>
    </row>
    <row r="26" spans="43:50">
      <c r="AQ26" s="54" t="s">
        <v>212</v>
      </c>
      <c r="AR26" s="54" t="e">
        <f>RFI!#REF!</f>
        <v>#REF!</v>
      </c>
    </row>
    <row r="27" spans="43:50">
      <c r="AQ27" s="54" t="s">
        <v>458</v>
      </c>
      <c r="AR27" s="54" t="e">
        <f>RFI!#REF!</f>
        <v>#REF!</v>
      </c>
    </row>
    <row r="28" spans="43:50">
      <c r="AQ28" s="54" t="s">
        <v>459</v>
      </c>
      <c r="AR28" s="54" t="e">
        <f>RFI!#REF!</f>
        <v>#REF!</v>
      </c>
    </row>
    <row r="29" spans="43:50">
      <c r="AQ29" s="54" t="s">
        <v>460</v>
      </c>
      <c r="AR29" s="54" t="e">
        <f>RFI!#REF!</f>
        <v>#REF!</v>
      </c>
    </row>
    <row r="30" spans="43:50">
      <c r="AQ30" s="54" t="s">
        <v>461</v>
      </c>
      <c r="AR30" s="54" t="e">
        <f>RFI!#REF!</f>
        <v>#REF!</v>
      </c>
    </row>
    <row r="31" spans="43:50">
      <c r="AQ31" s="54" t="s">
        <v>462</v>
      </c>
      <c r="AR31" s="54" t="e">
        <f>RFI!#REF!</f>
        <v>#REF!</v>
      </c>
    </row>
    <row r="32" spans="43:50">
      <c r="AQ32" s="54" t="s">
        <v>463</v>
      </c>
      <c r="AR32" s="54" t="e">
        <f>RFI!#REF!</f>
        <v>#REF!</v>
      </c>
    </row>
    <row r="33" spans="43:44">
      <c r="AQ33" s="54" t="s">
        <v>215</v>
      </c>
      <c r="AR33" s="54" t="e">
        <f>RFI!#REF!</f>
        <v>#REF!</v>
      </c>
    </row>
    <row r="34" spans="43:44">
      <c r="AQ34" s="54" t="s">
        <v>216</v>
      </c>
      <c r="AR34" s="54" t="e">
        <f>RFI!#REF!</f>
        <v>#REF!</v>
      </c>
    </row>
    <row r="35" spans="43:44">
      <c r="AQ35" s="54" t="s">
        <v>217</v>
      </c>
      <c r="AR35" s="54" t="e">
        <f>RFI!#REF!</f>
        <v>#REF!</v>
      </c>
    </row>
    <row r="36" spans="43:44">
      <c r="AQ36" s="54" t="s">
        <v>464</v>
      </c>
      <c r="AR36" s="54" t="e">
        <f>RFI!#REF!</f>
        <v>#REF!</v>
      </c>
    </row>
    <row r="37" spans="43:44">
      <c r="AQ37" s="54" t="s">
        <v>465</v>
      </c>
      <c r="AR37" s="54" t="e">
        <f>RFI!#REF!</f>
        <v>#REF!</v>
      </c>
    </row>
    <row r="38" spans="43:44">
      <c r="AQ38" s="54" t="s">
        <v>466</v>
      </c>
      <c r="AR38" s="54" t="e">
        <f>RFI!#REF!</f>
        <v>#REF!</v>
      </c>
    </row>
    <row r="39" spans="43:44">
      <c r="AQ39" s="54" t="s">
        <v>467</v>
      </c>
      <c r="AR39" s="54" t="e">
        <f>RFI!#REF!</f>
        <v>#REF!</v>
      </c>
    </row>
    <row r="40" spans="43:44">
      <c r="AQ40" s="54" t="s">
        <v>468</v>
      </c>
      <c r="AR40" s="54" t="e">
        <f>RFI!#REF!</f>
        <v>#REF!</v>
      </c>
    </row>
    <row r="41" spans="43:44">
      <c r="AQ41" s="54" t="s">
        <v>469</v>
      </c>
      <c r="AR41" s="54" t="e">
        <f>RFI!#REF!</f>
        <v>#REF!</v>
      </c>
    </row>
    <row r="42" spans="43:44">
      <c r="AQ42" s="54" t="s">
        <v>470</v>
      </c>
      <c r="AR42" s="54" t="e">
        <f>RFI!#REF!</f>
        <v>#REF!</v>
      </c>
    </row>
    <row r="43" spans="43:44">
      <c r="AQ43" s="54" t="s">
        <v>471</v>
      </c>
      <c r="AR43" s="54" t="e">
        <f>RFI!#REF!</f>
        <v>#REF!</v>
      </c>
    </row>
    <row r="44" spans="43:44">
      <c r="AQ44" s="54" t="s">
        <v>472</v>
      </c>
      <c r="AR44" s="54" t="e">
        <f>RFI!#REF!</f>
        <v>#REF!</v>
      </c>
    </row>
    <row r="45" spans="43:44">
      <c r="AQ45" s="54" t="s">
        <v>219</v>
      </c>
      <c r="AR45" s="54" t="e">
        <f>RFI!#REF!</f>
        <v>#REF!</v>
      </c>
    </row>
    <row r="46" spans="43:44">
      <c r="AQ46" s="54" t="s">
        <v>220</v>
      </c>
      <c r="AR46" s="54" t="e">
        <f>RFI!#REF!</f>
        <v>#REF!</v>
      </c>
    </row>
    <row r="47" spans="43:44">
      <c r="AQ47" s="54" t="s">
        <v>473</v>
      </c>
      <c r="AR47" s="54" t="e">
        <f>RFI!#REF!</f>
        <v>#REF!</v>
      </c>
    </row>
    <row r="48" spans="43:44">
      <c r="AQ48" s="54" t="s">
        <v>474</v>
      </c>
      <c r="AR48" s="54" t="e">
        <f>RFI!#REF!</f>
        <v>#REF!</v>
      </c>
    </row>
    <row r="49" spans="43:44">
      <c r="AQ49" s="54" t="s">
        <v>475</v>
      </c>
      <c r="AR49" s="54" t="e">
        <f>RFI!#REF!</f>
        <v>#REF!</v>
      </c>
    </row>
    <row r="50" spans="43:44">
      <c r="AQ50" s="54" t="s">
        <v>477</v>
      </c>
      <c r="AR50" s="54" t="e">
        <f>RFI!#REF!</f>
        <v>#REF!</v>
      </c>
    </row>
    <row r="51" spans="43:44">
      <c r="AQ51" s="54" t="s">
        <v>478</v>
      </c>
      <c r="AR51" s="54" t="e">
        <f>RFI!#REF!</f>
        <v>#REF!</v>
      </c>
    </row>
    <row r="52" spans="43:44">
      <c r="AQ52" s="54" t="s">
        <v>479</v>
      </c>
      <c r="AR52" s="54" t="e">
        <f>RFI!#REF!</f>
        <v>#REF!</v>
      </c>
    </row>
    <row r="53" spans="43:44">
      <c r="AQ53" s="54" t="s">
        <v>449</v>
      </c>
      <c r="AR53" s="54" t="e">
        <f>RFI!#REF!</f>
        <v>#REF!</v>
      </c>
    </row>
    <row r="54" spans="43:44">
      <c r="AQ54" s="54" t="s">
        <v>480</v>
      </c>
      <c r="AR54" s="54" t="e">
        <f>RFI!#REF!</f>
        <v>#REF!</v>
      </c>
    </row>
    <row r="55" spans="43:44">
      <c r="AQ55" s="54" t="s">
        <v>481</v>
      </c>
      <c r="AR55" s="54" t="e">
        <f>RFI!#REF!</f>
        <v>#REF!</v>
      </c>
    </row>
    <row r="56" spans="43:44">
      <c r="AQ56" s="54" t="s">
        <v>482</v>
      </c>
      <c r="AR56" s="54" t="e">
        <f>RFI!#REF!</f>
        <v>#REF!</v>
      </c>
    </row>
    <row r="57" spans="43:44">
      <c r="AQ57" s="54" t="s">
        <v>484</v>
      </c>
      <c r="AR57" s="54" t="e">
        <f>RFI!#REF!</f>
        <v>#REF!</v>
      </c>
    </row>
    <row r="58" spans="43:44">
      <c r="AQ58" s="54" t="s">
        <v>485</v>
      </c>
      <c r="AR58" s="54" t="e">
        <f>RFI!#REF!</f>
        <v>#REF!</v>
      </c>
    </row>
    <row r="59" spans="43:44">
      <c r="AQ59" s="54" t="s">
        <v>486</v>
      </c>
      <c r="AR59" s="54" t="e">
        <f>RFI!#REF!</f>
        <v>#REF!</v>
      </c>
    </row>
    <row r="60" spans="43:44">
      <c r="AQ60" s="54" t="s">
        <v>487</v>
      </c>
      <c r="AR60" s="54" t="e">
        <f>RFI!#REF!</f>
        <v>#REF!</v>
      </c>
    </row>
    <row r="61" spans="43:44">
      <c r="AQ61" s="54" t="s">
        <v>488</v>
      </c>
      <c r="AR61" s="54" t="e">
        <f>RFI!#REF!</f>
        <v>#REF!</v>
      </c>
    </row>
    <row r="62" spans="43:44">
      <c r="AQ62" s="54" t="s">
        <v>489</v>
      </c>
      <c r="AR62" s="54" t="e">
        <f>RFI!#REF!</f>
        <v>#REF!</v>
      </c>
    </row>
    <row r="63" spans="43:44">
      <c r="AQ63" s="54" t="s">
        <v>490</v>
      </c>
      <c r="AR63" s="54" t="e">
        <f>RFI!#REF!</f>
        <v>#REF!</v>
      </c>
    </row>
    <row r="64" spans="43:44">
      <c r="AQ64" s="54" t="s">
        <v>491</v>
      </c>
      <c r="AR64" s="54" t="e">
        <f>RFI!#REF!</f>
        <v>#REF!</v>
      </c>
    </row>
    <row r="65" spans="43:44">
      <c r="AQ65" s="54" t="s">
        <v>492</v>
      </c>
      <c r="AR65" s="54" t="e">
        <f>RFI!#REF!</f>
        <v>#REF!</v>
      </c>
    </row>
    <row r="66" spans="43:44">
      <c r="AQ66" s="54" t="s">
        <v>493</v>
      </c>
      <c r="AR66" s="54" t="e">
        <f>RFI!#REF!</f>
        <v>#REF!</v>
      </c>
    </row>
    <row r="67" spans="43:44">
      <c r="AQ67" s="54" t="s">
        <v>494</v>
      </c>
      <c r="AR67" s="54" t="e">
        <f>RFI!#REF!</f>
        <v>#REF!</v>
      </c>
    </row>
    <row r="68" spans="43:44">
      <c r="AQ68" s="54" t="s">
        <v>495</v>
      </c>
      <c r="AR68" s="54" t="e">
        <f>RFI!#REF!</f>
        <v>#REF!</v>
      </c>
    </row>
    <row r="69" spans="43:44">
      <c r="AQ69" s="54" t="s">
        <v>496</v>
      </c>
      <c r="AR69" s="54" t="e">
        <f>RFI!#REF!</f>
        <v>#REF!</v>
      </c>
    </row>
    <row r="70" spans="43:44">
      <c r="AQ70" s="54" t="s">
        <v>497</v>
      </c>
      <c r="AR70" s="54" t="e">
        <f>RFI!#REF!</f>
        <v>#REF!</v>
      </c>
    </row>
    <row r="71" spans="43:44">
      <c r="AQ71" s="54" t="s">
        <v>498</v>
      </c>
      <c r="AR71" s="54" t="e">
        <f>RFI!#REF!</f>
        <v>#REF!</v>
      </c>
    </row>
    <row r="72" spans="43:44">
      <c r="AQ72" s="54" t="s">
        <v>499</v>
      </c>
      <c r="AR72" s="54" t="e">
        <f>RFI!#REF!</f>
        <v>#REF!</v>
      </c>
    </row>
    <row r="73" spans="43:44">
      <c r="AQ73" s="54" t="s">
        <v>507</v>
      </c>
      <c r="AR73" s="54" t="b">
        <f>RFI!N80</f>
        <v>0</v>
      </c>
    </row>
    <row r="74" spans="43:44">
      <c r="AQ74" s="54" t="s">
        <v>508</v>
      </c>
      <c r="AR74" s="54" t="b">
        <f>RFI!N81</f>
        <v>0</v>
      </c>
    </row>
    <row r="75" spans="43:44">
      <c r="AQ75" s="54" t="s">
        <v>509</v>
      </c>
      <c r="AR75" s="54" t="b">
        <f>RFI!Z80</f>
        <v>0</v>
      </c>
    </row>
    <row r="76" spans="43:44">
      <c r="AQ76" s="54" t="s">
        <v>510</v>
      </c>
      <c r="AR76" s="54" t="b">
        <f>RFI!Z81</f>
        <v>0</v>
      </c>
    </row>
    <row r="77" spans="43:44">
      <c r="AQ77" s="54" t="s">
        <v>511</v>
      </c>
      <c r="AR77" s="54" t="b">
        <f>RFI!AL80</f>
        <v>0</v>
      </c>
    </row>
    <row r="78" spans="43:44">
      <c r="AQ78" s="54" t="s">
        <v>512</v>
      </c>
      <c r="AR78" s="54" t="b">
        <f>RFI!N83</f>
        <v>0</v>
      </c>
    </row>
    <row r="79" spans="43:44">
      <c r="AQ79" s="54" t="s">
        <v>513</v>
      </c>
      <c r="AR79" s="54" t="b">
        <f>RFI!N84</f>
        <v>0</v>
      </c>
    </row>
    <row r="80" spans="43:44">
      <c r="AQ80" s="54" t="s">
        <v>519</v>
      </c>
      <c r="AR80" s="54" t="b">
        <f>RFI!Z83</f>
        <v>0</v>
      </c>
    </row>
    <row r="81" spans="43:44">
      <c r="AQ81" s="54" t="s">
        <v>521</v>
      </c>
      <c r="AR81" s="54" t="b">
        <f>RFI!Z84</f>
        <v>0</v>
      </c>
    </row>
    <row r="82" spans="43:44">
      <c r="AQ82" s="54" t="s">
        <v>520</v>
      </c>
      <c r="AR82" s="54" t="b">
        <f>RFI!AL83</f>
        <v>0</v>
      </c>
    </row>
    <row r="83" spans="43:44">
      <c r="AQ83" s="54" t="s">
        <v>514</v>
      </c>
      <c r="AR83" s="54" t="b">
        <f>RFI!N86</f>
        <v>0</v>
      </c>
    </row>
    <row r="84" spans="43:44">
      <c r="AQ84" s="54" t="s">
        <v>515</v>
      </c>
      <c r="AR84" s="54" t="b">
        <f>RFI!N87</f>
        <v>0</v>
      </c>
    </row>
    <row r="85" spans="43:44">
      <c r="AQ85" s="54" t="s">
        <v>516</v>
      </c>
      <c r="AR85" s="54" t="b">
        <f>RFI!Z86</f>
        <v>0</v>
      </c>
    </row>
    <row r="86" spans="43:44">
      <c r="AQ86" s="54" t="s">
        <v>517</v>
      </c>
      <c r="AR86" s="54" t="b">
        <f>RFI!Z87</f>
        <v>0</v>
      </c>
    </row>
    <row r="87" spans="43:44">
      <c r="AQ87" s="54" t="s">
        <v>518</v>
      </c>
      <c r="AR87" s="54" t="b">
        <f>RFI!AL86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E63C724833A543AC7FDF5C5BC23518" ma:contentTypeVersion="19" ma:contentTypeDescription="Create a new document." ma:contentTypeScope="" ma:versionID="e6b0e629658c5ea169c58acb3057e72c">
  <xsd:schema xmlns:xsd="http://www.w3.org/2001/XMLSchema" xmlns:xs="http://www.w3.org/2001/XMLSchema" xmlns:p="http://schemas.microsoft.com/office/2006/metadata/properties" xmlns:ns2="04f5847c-0ba5-47d9-a407-aa3e38e007ac" xmlns:ns3="bd51aef4-e0a9-45c1-bbfa-9b0280524502" targetNamespace="http://schemas.microsoft.com/office/2006/metadata/properties" ma:root="true" ma:fieldsID="f8ee36927f1fc744f0d4c1108497bca7" ns2:_="" ns3:_="">
    <xsd:import namespace="04f5847c-0ba5-47d9-a407-aa3e38e007ac"/>
    <xsd:import namespace="bd51aef4-e0a9-45c1-bbfa-9b0280524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5847c-0ba5-47d9-a407-aa3e38e00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94a060-b840-4601-8d4a-360a5c150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1aef4-e0a9-45c1-bbfa-9b0280524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209cf9-d8c3-49d4-994e-58d5fb9cc703}" ma:internalName="TaxCatchAll" ma:showField="CatchAllData" ma:web="bd51aef4-e0a9-45c1-bbfa-9b0280524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51aef4-e0a9-45c1-bbfa-9b0280524502" xsi:nil="true"/>
    <lcf76f155ced4ddcb4097134ff3c332f xmlns="04f5847c-0ba5-47d9-a407-aa3e38e00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39163-6464-4ADA-8FA1-DC4361271586}"/>
</file>

<file path=customXml/itemProps2.xml><?xml version="1.0" encoding="utf-8"?>
<ds:datastoreItem xmlns:ds="http://schemas.openxmlformats.org/officeDocument/2006/customXml" ds:itemID="{57FC326E-F11F-4B5D-9707-A10047FFD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F58D5D-B7FF-4D46-A8FB-1BEFA986AB73}">
  <ds:schemaRefs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04f5847c-0ba5-47d9-a407-aa3e38e007ac"/>
    <ds:schemaRef ds:uri="http://purl.org/dc/dcmitype/"/>
    <ds:schemaRef ds:uri="http://schemas.microsoft.com/office/2006/documentManagement/types"/>
    <ds:schemaRef ds:uri="http://schemas.microsoft.com/office/infopath/2007/PartnerControls"/>
    <ds:schemaRef ds:uri="bd51aef4-e0a9-45c1-bbfa-9b028052450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Introduction</vt:lpstr>
      <vt:lpstr>RFI</vt:lpstr>
      <vt:lpstr>Settings</vt:lpstr>
      <vt:lpstr>Drop-down</vt:lpstr>
      <vt:lpstr>Dati Dashboard</vt:lpstr>
      <vt:lpstr>'Drop-down'!AgencyEmployeesDropdown</vt:lpstr>
      <vt:lpstr>'Drop-down'!AgencyEmployeesNumber</vt:lpstr>
      <vt:lpstr>'Drop-down'!CountriesDropdown</vt:lpstr>
      <vt:lpstr>'Drop-down'!CountriesNumber</vt:lpstr>
      <vt:lpstr>'Drop-down'!CurrencyDropdown</vt:lpstr>
      <vt:lpstr>'Drop-down'!CurrencyNumber</vt:lpstr>
      <vt:lpstr>RFI!Print_Area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Siffredi</dc:creator>
  <cp:lastModifiedBy>Stefano Arbitrio</cp:lastModifiedBy>
  <dcterms:created xsi:type="dcterms:W3CDTF">2022-12-16T09:53:34Z</dcterms:created>
  <dcterms:modified xsi:type="dcterms:W3CDTF">2025-12-09T10:54:27Z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0x0101006FE63C724833A543AC7FDF5C5BC23518</vt:lpwstr>
  </property>
  <property fmtid="{D5CDD505-2E9C-101B-9397-08002B2CF9AE}" pid="3" name="MediaServiceImageTags">
    <vt:lpwstr/>
  </property>
</Properties>
</file>